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ink/ink1.xml" ContentType="application/inkml+xml"/>
  <Override PartName="/xl/ink/ink2.xml" ContentType="application/inkml+xml"/>
  <Override PartName="/xl/drawings/drawing2.xml" ContentType="application/vnd.openxmlformats-officedocument.drawing+xml"/>
  <Override PartName="/xl/ink/ink3.xml" ContentType="application/inkml+xml"/>
  <Override PartName="/xl/drawings/drawing3.xml" ContentType="application/vnd.openxmlformats-officedocument.drawing+xml"/>
  <Override PartName="/xl/ink/ink4.xml" ContentType="application/inkml+xml"/>
  <Override PartName="/xl/ink/ink5.xml" ContentType="application/inkml+xml"/>
  <Override PartName="/xl/drawings/drawing4.xml" ContentType="application/vnd.openxmlformats-officedocument.drawing+xml"/>
  <Override PartName="/xl/ink/ink6.xml" ContentType="application/inkml+xml"/>
  <Override PartName="/xl/ink/ink7.xml" ContentType="application/inkml+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ink/ink8.xml" ContentType="application/inkml+xml"/>
  <Override PartName="/xl/comments3.xml" ContentType="application/vnd.openxmlformats-officedocument.spreadsheetml.comments+xml"/>
  <Override PartName="/xl/threadedComments/threadedComment3.xml" ContentType="application/vnd.ms-excel.threadedcomments+xml"/>
  <Override PartName="/xl/tables/table2.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lggroup.sharepoint.com/sites/OPERACIONESPLGAD/Shared Documents/DEPTO OPERACIONES/REPORTES IMPORT - EXPORT OPS/"/>
    </mc:Choice>
  </mc:AlternateContent>
  <xr:revisionPtr revIDLastSave="3731" documentId="11_AD4D2F04E46CFB4ACB3E2021BDD4EA02683EDF1A" xr6:coauthVersionLast="47" xr6:coauthVersionMax="47" xr10:uidLastSave="{59427CAB-04C6-4B09-AD9D-FF9422D5B6C1}"/>
  <bookViews>
    <workbookView xWindow="-108" yWindow="-108" windowWidth="23256" windowHeight="13896" firstSheet="1" activeTab="1" xr2:uid="{00000000-000D-0000-FFFF-FFFF00000000}"/>
  </bookViews>
  <sheets>
    <sheet name="Hoja1" sheetId="3" state="hidden" r:id="rId1"/>
    <sheet name="IMPORT 2025" sheetId="1" r:id="rId2"/>
    <sheet name="Hoja10" sheetId="13" r:id="rId3"/>
    <sheet name="Hoja8" sheetId="11" r:id="rId4"/>
    <sheet name="Hoja7" sheetId="10" r:id="rId5"/>
    <sheet name="Hoja2" sheetId="9" r:id="rId6"/>
    <sheet name="Hoja6" sheetId="8" r:id="rId7"/>
    <sheet name="Hoja3" sheetId="5" r:id="rId8"/>
    <sheet name="Hoja4" sheetId="6" r:id="rId9"/>
    <sheet name="Hoja5" sheetId="7" r:id="rId10"/>
    <sheet name="BASE" sheetId="2" state="hidden" r:id="rId11"/>
  </sheets>
  <definedNames>
    <definedName name="_Hlk128545079" localSheetId="4">Hoja7!$A$4</definedName>
    <definedName name="DatosExternos_2" localSheetId="10" hidden="1">BASE!$A$1:$F$64</definedName>
    <definedName name="DESTINO_FINAL_DE_EMBARQUE">OFFSET(BASE!$E$2,0,0,COUNTA(BASE!$E:$E)-1,1)</definedName>
    <definedName name="ESTATUS">OFFSET(BASE!$A$2,0,0,COUNTA(BASE!$A:$A)-1,1)</definedName>
    <definedName name="NAVIERA__Destino">OFFSET(BASE!$B$2,0,0,COUNTA(BASE!$B:$B)-1,1)</definedName>
    <definedName name="PUERTO_DE_ARRIBO_PAIS">OFFSET(BASE!$D$2,0,0,COUNTA(BASE!$D:$D)-1,1)</definedName>
    <definedName name="PUERTO_DE_TRANSBORDO">OFFSET(BASE!$F$2,0,0,COUNTA(BASE!$F:$F)-1,1)</definedName>
    <definedName name="TIPO_DE_EMBARQUE">OFFSET(BASE!$C$2,0,0,COUNTA(BASE!$C:$C)-1,1)</definedName>
  </definedNames>
  <calcPr calcId="191028"/>
  <pivotCaches>
    <pivotCache cacheId="2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0" l="1"/>
  <c r="J7" i="10"/>
  <c r="I7" i="10"/>
  <c r="Z58" i="1" l="1"/>
  <c r="Z59" i="1"/>
  <c r="Z60" i="1"/>
  <c r="W58" i="1"/>
  <c r="W59" i="1"/>
  <c r="W60" i="1"/>
  <c r="W61" i="1"/>
  <c r="V50" i="1" l="1"/>
  <c r="AG5" i="1" l="1"/>
  <c r="AF5" i="1" s="1"/>
  <c r="AL5" i="1"/>
  <c r="AK5" i="1" s="1"/>
  <c r="AS5" i="1"/>
  <c r="AG3" i="1"/>
  <c r="AF3" i="1" s="1"/>
  <c r="AG68" i="1"/>
  <c r="AF68" i="1" s="1"/>
  <c r="AG58" i="1"/>
  <c r="AF58" i="1" s="1"/>
  <c r="AG71" i="1"/>
  <c r="AF71" i="1" s="1"/>
  <c r="AG59" i="1"/>
  <c r="AF59" i="1" s="1"/>
  <c r="AG60" i="1"/>
  <c r="AF60" i="1" s="1"/>
  <c r="AG70" i="1"/>
  <c r="AF70" i="1" s="1"/>
  <c r="AG66" i="1"/>
  <c r="AF66" i="1" s="1"/>
  <c r="AG69" i="1"/>
  <c r="AF69" i="1" s="1"/>
  <c r="AG67" i="1"/>
  <c r="AF67" i="1" s="1"/>
  <c r="AG57" i="1"/>
  <c r="AF57" i="1" s="1"/>
  <c r="AG72" i="1"/>
  <c r="AF72" i="1" s="1"/>
  <c r="AG73" i="1"/>
  <c r="AF73" i="1" s="1"/>
  <c r="AG74" i="1"/>
  <c r="AF74" i="1" s="1"/>
  <c r="AL3" i="1"/>
  <c r="AK3" i="1" s="1"/>
  <c r="AL68" i="1"/>
  <c r="AK68" i="1" s="1"/>
  <c r="AL58" i="1"/>
  <c r="AK58" i="1" s="1"/>
  <c r="AL71" i="1"/>
  <c r="AK71" i="1" s="1"/>
  <c r="AL59" i="1"/>
  <c r="AK59" i="1" s="1"/>
  <c r="AL60" i="1"/>
  <c r="AK60" i="1" s="1"/>
  <c r="AL70" i="1"/>
  <c r="AK70" i="1" s="1"/>
  <c r="AL66" i="1"/>
  <c r="AK66" i="1" s="1"/>
  <c r="AL69" i="1"/>
  <c r="AK69" i="1" s="1"/>
  <c r="AL67" i="1"/>
  <c r="AK67" i="1" s="1"/>
  <c r="AL57" i="1"/>
  <c r="AK57" i="1" s="1"/>
  <c r="AL72" i="1"/>
  <c r="AK72" i="1" s="1"/>
  <c r="AL73" i="1"/>
  <c r="AK73" i="1" s="1"/>
  <c r="AL74" i="1"/>
  <c r="AK74" i="1" s="1"/>
  <c r="AS3" i="1"/>
  <c r="AS68" i="1"/>
  <c r="AS58" i="1"/>
  <c r="AS71" i="1"/>
  <c r="AS59" i="1"/>
  <c r="AS60" i="1"/>
  <c r="AS70" i="1"/>
  <c r="AS66" i="1"/>
  <c r="AS69" i="1"/>
  <c r="AS67" i="1"/>
  <c r="AS57" i="1"/>
  <c r="AS72" i="1"/>
  <c r="AS73" i="1"/>
  <c r="AS74" i="1"/>
  <c r="AX70" i="1"/>
  <c r="AX66" i="1"/>
  <c r="AX69" i="1"/>
  <c r="AX67" i="1"/>
  <c r="AX57" i="1"/>
  <c r="AX72" i="1"/>
  <c r="AX73" i="1"/>
  <c r="AX74" i="1"/>
  <c r="W57" i="1" l="1"/>
  <c r="Z57" i="1"/>
  <c r="AG50" i="1"/>
  <c r="AF50" i="1" s="1"/>
  <c r="AL50" i="1"/>
  <c r="AK50" i="1" s="1"/>
  <c r="AS50" i="1"/>
  <c r="AX50" i="1"/>
  <c r="W50" i="1" l="1"/>
  <c r="Z50" i="1"/>
  <c r="AX29" i="1"/>
  <c r="AS18" i="1"/>
  <c r="AS23" i="1"/>
  <c r="AS29" i="1"/>
  <c r="AS24" i="1"/>
  <c r="AS25" i="1"/>
  <c r="AS26" i="1"/>
  <c r="AS27" i="1"/>
  <c r="AS28" i="1"/>
  <c r="AS31" i="1"/>
  <c r="AS33" i="1"/>
  <c r="AS32" i="1"/>
  <c r="AS34" i="1"/>
  <c r="V24" i="1"/>
  <c r="V25" i="1"/>
  <c r="V26" i="1"/>
  <c r="V27" i="1"/>
  <c r="V28" i="1"/>
  <c r="V31" i="1"/>
  <c r="V33" i="1"/>
  <c r="V32" i="1"/>
  <c r="V34" i="1"/>
  <c r="V18" i="1"/>
  <c r="V23" i="1"/>
  <c r="V29" i="1"/>
  <c r="AG31" i="1"/>
  <c r="AF31" i="1" s="1"/>
  <c r="AG33" i="1"/>
  <c r="AF33" i="1" s="1"/>
  <c r="AG32" i="1"/>
  <c r="AF32" i="1" s="1"/>
  <c r="AG34" i="1"/>
  <c r="AF34" i="1" s="1"/>
  <c r="AL31" i="1"/>
  <c r="AK31" i="1" s="1"/>
  <c r="AL33" i="1"/>
  <c r="AK33" i="1" s="1"/>
  <c r="AL32" i="1"/>
  <c r="AK32" i="1" s="1"/>
  <c r="AL34" i="1"/>
  <c r="AK34" i="1" s="1"/>
  <c r="AX31" i="1"/>
  <c r="W31" i="1" s="1"/>
  <c r="AX33" i="1"/>
  <c r="W33" i="1" s="1"/>
  <c r="AX32" i="1"/>
  <c r="W32" i="1" s="1"/>
  <c r="AX34" i="1"/>
  <c r="W34" i="1" s="1"/>
  <c r="AG28" i="1"/>
  <c r="AF28" i="1" s="1"/>
  <c r="AL28" i="1"/>
  <c r="AK28" i="1" s="1"/>
  <c r="AX28" i="1"/>
  <c r="W28" i="1" s="1"/>
  <c r="AG27" i="1"/>
  <c r="AF27" i="1" s="1"/>
  <c r="AL27" i="1"/>
  <c r="AK27" i="1" s="1"/>
  <c r="AX27" i="1"/>
  <c r="W27" i="1" s="1"/>
  <c r="AG26" i="1"/>
  <c r="AF26" i="1" s="1"/>
  <c r="AL26" i="1"/>
  <c r="AK26" i="1" s="1"/>
  <c r="AX26" i="1"/>
  <c r="W26" i="1" s="1"/>
  <c r="AG24" i="1"/>
  <c r="AF24" i="1" s="1"/>
  <c r="AG25" i="1"/>
  <c r="AF25" i="1" s="1"/>
  <c r="AL24" i="1"/>
  <c r="AK24" i="1" s="1"/>
  <c r="AL25" i="1"/>
  <c r="AK25" i="1" s="1"/>
  <c r="AX24" i="1"/>
  <c r="W24" i="1" s="1"/>
  <c r="AX25" i="1"/>
  <c r="W25" i="1" s="1"/>
  <c r="Z32" i="1" l="1"/>
  <c r="Z33" i="1"/>
  <c r="Z31" i="1"/>
  <c r="Z28" i="1"/>
  <c r="Z27" i="1"/>
  <c r="Z26" i="1"/>
  <c r="Z25" i="1"/>
  <c r="Z34" i="1"/>
  <c r="Z24" i="1"/>
  <c r="V49" i="1" l="1"/>
  <c r="V54" i="1"/>
  <c r="AS49" i="1"/>
  <c r="Z38" i="1"/>
  <c r="Z39" i="1"/>
  <c r="V38" i="1"/>
  <c r="V39" i="1"/>
  <c r="AS35" i="1" l="1"/>
  <c r="AS36" i="1"/>
  <c r="AS37" i="1"/>
  <c r="AS54" i="1"/>
  <c r="Z35" i="1"/>
  <c r="AG38" i="1"/>
  <c r="AF38" i="1" s="1"/>
  <c r="AG39" i="1"/>
  <c r="AF39" i="1" s="1"/>
  <c r="AG49" i="1"/>
  <c r="AF49" i="1" s="1"/>
  <c r="AG54" i="1"/>
  <c r="AF54" i="1" s="1"/>
  <c r="AG18" i="1"/>
  <c r="AF18" i="1" s="1"/>
  <c r="AG23" i="1"/>
  <c r="AF23" i="1" s="1"/>
  <c r="AG29" i="1"/>
  <c r="AF29" i="1" s="1"/>
  <c r="AL38" i="1"/>
  <c r="AK38" i="1" s="1"/>
  <c r="AL39" i="1"/>
  <c r="AK39" i="1" s="1"/>
  <c r="AL49" i="1"/>
  <c r="AK49" i="1" s="1"/>
  <c r="AL54" i="1"/>
  <c r="AK54" i="1" s="1"/>
  <c r="AL18" i="1"/>
  <c r="AK18" i="1" s="1"/>
  <c r="AL23" i="1"/>
  <c r="AK23" i="1" s="1"/>
  <c r="AL29" i="1"/>
  <c r="AK29" i="1" s="1"/>
  <c r="AX38" i="1"/>
  <c r="W38" i="1" s="1"/>
  <c r="AX39" i="1"/>
  <c r="W39" i="1" s="1"/>
  <c r="AX49" i="1"/>
  <c r="AX54" i="1"/>
  <c r="AX18" i="1"/>
  <c r="AX23" i="1"/>
  <c r="W54" i="1" l="1"/>
  <c r="Z54" i="1"/>
  <c r="W18" i="1"/>
  <c r="Z18" i="1"/>
  <c r="W49" i="1"/>
  <c r="Z49" i="1"/>
  <c r="W29" i="1"/>
  <c r="Z29" i="1"/>
  <c r="W23" i="1"/>
  <c r="Z23" i="1"/>
  <c r="V46" i="1"/>
  <c r="V36" i="1"/>
  <c r="V37" i="1"/>
  <c r="AS6" i="1" l="1"/>
  <c r="AS7" i="1"/>
  <c r="AS8" i="1"/>
  <c r="AS9" i="1"/>
  <c r="AS10" i="1"/>
  <c r="AS11" i="1"/>
  <c r="AS12" i="1"/>
  <c r="AS13" i="1"/>
  <c r="AS14" i="1"/>
  <c r="AS15" i="1"/>
  <c r="AS16" i="1"/>
  <c r="AS17" i="1"/>
  <c r="AS19" i="1"/>
  <c r="AS20" i="1"/>
  <c r="AS21" i="1"/>
  <c r="AS22" i="1"/>
  <c r="AS30" i="1"/>
  <c r="AS44" i="1"/>
  <c r="AS52" i="1"/>
  <c r="AS53" i="1"/>
  <c r="AS55" i="1"/>
  <c r="AS56" i="1"/>
  <c r="AS48" i="1"/>
  <c r="AS64" i="1"/>
  <c r="AS62" i="1"/>
  <c r="AS63" i="1"/>
  <c r="AS61" i="1"/>
  <c r="AS65" i="1"/>
  <c r="AS47" i="1"/>
  <c r="AS51" i="1"/>
  <c r="AS40" i="1"/>
  <c r="AS41" i="1"/>
  <c r="AS42" i="1"/>
  <c r="AS43" i="1"/>
  <c r="AS45" i="1"/>
  <c r="AS46" i="1"/>
  <c r="AL6" i="1"/>
  <c r="AK6" i="1" s="1"/>
  <c r="AL7" i="1"/>
  <c r="AK7" i="1" s="1"/>
  <c r="AL8" i="1"/>
  <c r="AK8" i="1" s="1"/>
  <c r="AL9" i="1"/>
  <c r="AK9" i="1" s="1"/>
  <c r="AL10" i="1"/>
  <c r="AK10" i="1" s="1"/>
  <c r="AL11" i="1"/>
  <c r="AK11" i="1" s="1"/>
  <c r="AL12" i="1"/>
  <c r="AK12" i="1" s="1"/>
  <c r="AL13" i="1"/>
  <c r="AK13" i="1" s="1"/>
  <c r="AL14" i="1"/>
  <c r="AK14" i="1" s="1"/>
  <c r="AL15" i="1"/>
  <c r="AK15" i="1" s="1"/>
  <c r="AL16" i="1"/>
  <c r="AK16" i="1" s="1"/>
  <c r="AL17" i="1"/>
  <c r="AK17" i="1" s="1"/>
  <c r="AL19" i="1"/>
  <c r="AK19" i="1" s="1"/>
  <c r="AL20" i="1"/>
  <c r="AK20" i="1" s="1"/>
  <c r="AL21" i="1"/>
  <c r="AK21" i="1" s="1"/>
  <c r="AL22" i="1"/>
  <c r="AK22" i="1" s="1"/>
  <c r="AL30" i="1"/>
  <c r="AK30" i="1" s="1"/>
  <c r="AL44" i="1"/>
  <c r="AK44" i="1" s="1"/>
  <c r="AL52" i="1"/>
  <c r="AK52" i="1" s="1"/>
  <c r="AL53" i="1"/>
  <c r="AK53" i="1" s="1"/>
  <c r="AL55" i="1"/>
  <c r="AK55" i="1" s="1"/>
  <c r="AL56" i="1"/>
  <c r="AK56" i="1" s="1"/>
  <c r="AL48" i="1"/>
  <c r="AK48" i="1" s="1"/>
  <c r="AL64" i="1"/>
  <c r="AK64" i="1" s="1"/>
  <c r="AL62" i="1"/>
  <c r="AK62" i="1" s="1"/>
  <c r="AL63" i="1"/>
  <c r="AK63" i="1" s="1"/>
  <c r="AL61" i="1"/>
  <c r="AK61" i="1" s="1"/>
  <c r="AL65" i="1"/>
  <c r="AK65" i="1" s="1"/>
  <c r="AL47" i="1"/>
  <c r="AK47" i="1" s="1"/>
  <c r="AL51" i="1"/>
  <c r="AK51" i="1" s="1"/>
  <c r="AL40" i="1"/>
  <c r="AK40" i="1" s="1"/>
  <c r="AL41" i="1"/>
  <c r="AK41" i="1" s="1"/>
  <c r="AL42" i="1"/>
  <c r="AK42" i="1" s="1"/>
  <c r="AL43" i="1"/>
  <c r="AK43" i="1" s="1"/>
  <c r="AL45" i="1"/>
  <c r="AK45" i="1" s="1"/>
  <c r="AL46" i="1"/>
  <c r="AK46" i="1" s="1"/>
  <c r="AL35" i="1"/>
  <c r="AK35" i="1" s="1"/>
  <c r="AL36" i="1"/>
  <c r="AK36" i="1" s="1"/>
  <c r="AL37" i="1"/>
  <c r="AK37" i="1" s="1"/>
  <c r="AG6" i="1"/>
  <c r="AF6" i="1" s="1"/>
  <c r="AG7" i="1"/>
  <c r="AF7" i="1" s="1"/>
  <c r="AG8" i="1"/>
  <c r="AF8" i="1" s="1"/>
  <c r="AG9" i="1"/>
  <c r="AF9" i="1" s="1"/>
  <c r="AG10" i="1"/>
  <c r="AF10" i="1" s="1"/>
  <c r="AG11" i="1"/>
  <c r="AF11" i="1" s="1"/>
  <c r="AG12" i="1"/>
  <c r="AF12" i="1" s="1"/>
  <c r="AG13" i="1"/>
  <c r="AF13" i="1" s="1"/>
  <c r="AG14" i="1"/>
  <c r="AF14" i="1" s="1"/>
  <c r="AG15" i="1"/>
  <c r="AF15" i="1" s="1"/>
  <c r="AG16" i="1"/>
  <c r="AF16" i="1" s="1"/>
  <c r="AG17" i="1"/>
  <c r="AF17" i="1" s="1"/>
  <c r="AG19" i="1"/>
  <c r="AF19" i="1" s="1"/>
  <c r="AG20" i="1"/>
  <c r="AF20" i="1" s="1"/>
  <c r="AG21" i="1"/>
  <c r="AF21" i="1" s="1"/>
  <c r="AG22" i="1"/>
  <c r="AF22" i="1" s="1"/>
  <c r="AG30" i="1"/>
  <c r="AF30" i="1" s="1"/>
  <c r="AG44" i="1"/>
  <c r="AF44" i="1" s="1"/>
  <c r="AG52" i="1"/>
  <c r="AF52" i="1" s="1"/>
  <c r="AG53" i="1"/>
  <c r="AF53" i="1" s="1"/>
  <c r="AG55" i="1"/>
  <c r="AF55" i="1" s="1"/>
  <c r="AG56" i="1"/>
  <c r="AF56" i="1" s="1"/>
  <c r="AG48" i="1"/>
  <c r="AF48" i="1" s="1"/>
  <c r="AG64" i="1"/>
  <c r="AF64" i="1" s="1"/>
  <c r="AG62" i="1"/>
  <c r="AF62" i="1" s="1"/>
  <c r="AG63" i="1"/>
  <c r="AF63" i="1" s="1"/>
  <c r="AG61" i="1"/>
  <c r="AF61" i="1" s="1"/>
  <c r="AG65" i="1"/>
  <c r="AF65" i="1" s="1"/>
  <c r="AG47" i="1"/>
  <c r="AF47" i="1" s="1"/>
  <c r="AG51" i="1"/>
  <c r="AF51" i="1" s="1"/>
  <c r="AG40" i="1"/>
  <c r="AF40" i="1" s="1"/>
  <c r="AG41" i="1"/>
  <c r="AF41" i="1" s="1"/>
  <c r="AG42" i="1"/>
  <c r="AF42" i="1" s="1"/>
  <c r="AG43" i="1"/>
  <c r="AF43" i="1" s="1"/>
  <c r="AG45" i="1"/>
  <c r="AF45" i="1" s="1"/>
  <c r="AG46" i="1"/>
  <c r="AF46" i="1" s="1"/>
  <c r="AG35" i="1"/>
  <c r="AF35" i="1" s="1"/>
  <c r="AG36" i="1"/>
  <c r="AF36" i="1" s="1"/>
  <c r="AG37" i="1"/>
  <c r="AF37" i="1" s="1"/>
  <c r="Z12" i="1"/>
  <c r="Z13" i="1"/>
  <c r="Z14" i="1"/>
  <c r="Z15" i="1"/>
  <c r="Z16" i="1"/>
  <c r="Z17" i="1"/>
  <c r="Z19" i="1"/>
  <c r="Z20" i="1"/>
  <c r="Z21" i="1"/>
  <c r="Z22" i="1"/>
  <c r="Z30" i="1"/>
  <c r="Z11" i="1"/>
  <c r="W12" i="1"/>
  <c r="W13" i="1"/>
  <c r="W14" i="1"/>
  <c r="W15" i="1"/>
  <c r="W16" i="1"/>
  <c r="W17" i="1"/>
  <c r="W19" i="1"/>
  <c r="W20" i="1"/>
  <c r="W21" i="1"/>
  <c r="W22" i="1"/>
  <c r="W30" i="1"/>
  <c r="W44" i="1"/>
  <c r="W52" i="1"/>
  <c r="W53" i="1"/>
  <c r="W55" i="1"/>
  <c r="W56" i="1"/>
  <c r="W48" i="1"/>
  <c r="W64" i="1"/>
  <c r="W62" i="1"/>
  <c r="W63" i="1"/>
  <c r="W65" i="1"/>
  <c r="W47" i="1"/>
  <c r="W51" i="1"/>
  <c r="W40" i="1"/>
  <c r="W41" i="1"/>
  <c r="W42" i="1"/>
  <c r="W43" i="1"/>
  <c r="W45" i="1"/>
  <c r="W11" i="1"/>
  <c r="V6" i="1"/>
  <c r="V7" i="1"/>
  <c r="V8" i="1"/>
  <c r="V10" i="1"/>
  <c r="V11" i="1"/>
  <c r="V12" i="1"/>
  <c r="V13" i="1"/>
  <c r="V14" i="1"/>
  <c r="V15" i="1"/>
  <c r="V16" i="1"/>
  <c r="V17" i="1"/>
  <c r="V19" i="1"/>
  <c r="V20" i="1"/>
  <c r="V21" i="1"/>
  <c r="V22" i="1"/>
  <c r="V30" i="1"/>
  <c r="V44" i="1"/>
  <c r="V52" i="1"/>
  <c r="V53" i="1"/>
  <c r="V55" i="1"/>
  <c r="V56" i="1"/>
  <c r="V48" i="1"/>
  <c r="V64" i="1"/>
  <c r="V62" i="1"/>
  <c r="V63" i="1"/>
  <c r="V61" i="1"/>
  <c r="V65" i="1"/>
  <c r="V47" i="1"/>
  <c r="V51" i="1"/>
  <c r="V40" i="1"/>
  <c r="V41" i="1"/>
  <c r="V42" i="1"/>
  <c r="V43" i="1"/>
  <c r="V45" i="1"/>
  <c r="V9" i="1"/>
  <c r="AX51" i="1" l="1"/>
  <c r="Z51" i="1" s="1"/>
  <c r="AX40" i="1"/>
  <c r="Z40" i="1" s="1"/>
  <c r="AX41" i="1"/>
  <c r="Z41" i="1" s="1"/>
  <c r="AX42" i="1"/>
  <c r="Z42" i="1" s="1"/>
  <c r="AX43" i="1"/>
  <c r="Z43" i="1" s="1"/>
  <c r="AX45" i="1"/>
  <c r="Z45" i="1" s="1"/>
  <c r="AX46" i="1"/>
  <c r="AX35" i="1"/>
  <c r="AX36" i="1"/>
  <c r="Z36" i="1" s="1"/>
  <c r="AX37" i="1"/>
  <c r="Z37" i="1" s="1"/>
  <c r="AX44" i="1"/>
  <c r="Z44" i="1" s="1"/>
  <c r="AX55" i="1"/>
  <c r="Z55" i="1" s="1"/>
  <c r="AX52" i="1"/>
  <c r="Z52" i="1" s="1"/>
  <c r="AX53" i="1"/>
  <c r="Z53" i="1" s="1"/>
  <c r="AX56" i="1"/>
  <c r="Z56" i="1" s="1"/>
  <c r="AX48" i="1"/>
  <c r="Z48" i="1" s="1"/>
  <c r="AX64" i="1"/>
  <c r="Z64" i="1" s="1"/>
  <c r="AX62" i="1"/>
  <c r="Z62" i="1" s="1"/>
  <c r="AX63" i="1"/>
  <c r="Z63" i="1" s="1"/>
  <c r="AX61" i="1"/>
  <c r="Z61" i="1" s="1"/>
  <c r="AX65" i="1"/>
  <c r="Z65" i="1" s="1"/>
  <c r="AX47" i="1"/>
  <c r="Z47" i="1" s="1"/>
  <c r="AX14" i="1"/>
  <c r="AX19" i="1"/>
  <c r="Z6" i="1"/>
  <c r="Z7" i="1"/>
  <c r="Z8" i="1"/>
  <c r="AX8" i="1"/>
  <c r="AX12" i="1"/>
  <c r="AX11" i="1"/>
  <c r="AX16" i="1"/>
  <c r="AX13" i="1"/>
  <c r="AX30" i="1"/>
  <c r="AX17" i="1"/>
  <c r="AX10" i="1"/>
  <c r="Z10" i="1"/>
  <c r="AX9" i="1"/>
  <c r="Z9" i="1"/>
  <c r="AX22" i="1"/>
  <c r="AX15" i="1"/>
  <c r="AX21" i="1"/>
  <c r="AX20" i="1"/>
  <c r="AX7" i="1"/>
  <c r="AX6" i="1"/>
  <c r="W36" i="1" l="1"/>
  <c r="W37" i="1"/>
  <c r="Z46" i="1"/>
  <c r="W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tc={C32F3C18-0C35-48D0-AFA6-182F2ABBCACA}</author>
    <author>tc={B751DB27-A639-47B2-BBDA-E3ED3BA806D0}</author>
  </authors>
  <commentList>
    <comment ref="E62" authorId="0" shapeId="0" xr:uid="{C32F3C18-0C35-48D0-AFA6-182F2ABBCA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25OT2114 (HBL TELEX RELEASE OK LIBERAR)
2) 25OT2065 (HBL CONTRA ENTREGA DE ORIGINAL)
</t>
      </text>
    </comment>
    <comment ref="E63" authorId="1" shapeId="0" xr:uid="{B751DB27-A639-47B2-BBDA-E3ED3BA806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25OT2185 HBL TELEX RELEASE OK LIBERAR
25OT2149 HBL CONTRA ENTREGA DE ORIGINAL
25OT2216 HBL CONTRA ENTREGA DE ORIGINAL
25OT2240 HBL CONTRA ENTREGA DE ORIGINAL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tc={986412D3-5B58-4518-95D7-9EF523F2F806}</author>
  </authors>
  <commentList>
    <comment ref="C16" authorId="0" shapeId="0" xr:uid="{986412D3-5B58-4518-95D7-9EF523F2F80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25OT1885 HBL TELEX RELEASE NO LIBERAR NO SE PUEDE LIBERAR POR FALTA DE PAGOS DE CNEE A SHIPPER
25OT2008 HBL TELEX RELEASE OK LIBERAR
25OT2054 HBL TELEX RELEASE OK LIBERAR
25OT2073 HBL CONTRA ENTREGA DE ORIGINAL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tc={A1360FA2-500D-4F1F-980F-F02F8A1DF3D3}</author>
    <author>tc={1EFA7378-4F29-4684-9E13-D1D6FBBB801B}</author>
    <author>tc={35DC59B7-D85A-499C-806A-D735EECE9E1F}</author>
    <author>tc={6C6F2AC7-CE53-4FA2-BD62-F387B3661D2C}</author>
    <author>tc={DA886C63-B756-43A3-AB28-75F86B4009BC}</author>
    <author>tc={0532FC3E-E47E-497C-9B16-044D589B72C4}</author>
    <author>tc={4BBDEE09-82FF-461B-806B-1506C3105BA1}</author>
  </authors>
  <commentList>
    <comment ref="C3" authorId="0" shapeId="0" xr:uid="{A1360FA2-500D-4F1F-980F-F02F8A1DF3D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25OT1862 (HBL CONTRA ENTREGA DE ORIGINAL)
2) (HBL CONTRA ENTREGA DE ORIGINAL)
3) 25OT1933 (HBL CONTRA ENTREGA DE ORIGINAL)
4) 25OT1854 (HBL CONTRA ENTREGA DE ORIGINAL)
5) 25OT2026 (HBL CONTRA ENTREGA DE ORIGINAL)
</t>
      </text>
    </comment>
    <comment ref="C5" authorId="1" shapeId="0" xr:uid="{1EFA7378-4F29-4684-9E13-D1D6FBBB80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25OT2089 HBL CONTRA ENTREGA DE ORIGINAL
25OT2154 HBL TELEX RELEASE OK LIBERAR
25OT2201 HBL TELEX RELEASE OK LIBERAR
</t>
      </text>
    </comment>
    <comment ref="C7" authorId="2" shapeId="0" xr:uid="{35DC59B7-D85A-499C-806A-D735EECE9E1F}">
      <text>
        <t>[Comentario encadenado]
Su versión de Excel le permite leer este comentario encadenado; sin embargo, las ediciones que se apliquen se quitarán si el archivo se abre en una versión más reciente de Excel. Más información: https://go.microsoft.com/fwlink/?linkid=870924
Comentario:
    HBL TELEX RELEASE NO LIBERAR NO SE PUEDE LIBERAR POR FALTA DE PAGOS DE CNEE A SHIPPER</t>
      </text>
    </comment>
    <comment ref="C10" authorId="3" shapeId="0" xr:uid="{6C6F2AC7-CE53-4FA2-BD62-F387B3661D2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25OT2114 (HBL TELEX RELEASE OK LIBERAR)
2) 25OT2065 (HBL CONTRA ENTREGA DE ORIGINAL)
</t>
      </text>
    </comment>
    <comment ref="C11" authorId="4" shapeId="0" xr:uid="{DA886C63-B756-43A3-AB28-75F86B4009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25OT2185 HBL TELEX RELEASE OK LIBERAR
25OT2149 HBL CONTRA ENTREGA DE ORIGINAL
25OT2216 HBL CONTRA ENTREGA DE ORIGINAL
25OT2240 HBL CONTRA ENTREGA DE ORIGINAL
</t>
      </text>
    </comment>
    <comment ref="C12" authorId="5" shapeId="0" xr:uid="{0532FC3E-E47E-497C-9B16-044D589B72C4}">
      <text>
        <t>[Comentario encadenado]
Su versión de Excel le permite leer este comentario encadenado; sin embargo, las ediciones que se apliquen se quitarán si el archivo se abre en una versión más reciente de Excel. Más información: https://go.microsoft.com/fwlink/?linkid=870924
Comentario:
    25OT1863 HBL TELEX RELEASE NO LIBERAR NO SE PUEDE LIBERAR POR FALTA DE PAGOS DE CNEE A SHIPPER
25OT2223 HBL TELEX RELEASE OK LIBERAR</t>
      </text>
    </comment>
    <comment ref="C13" authorId="6" shapeId="0" xr:uid="{4BBDEE09-82FF-461B-806B-1506C3105BA1}">
      <text>
        <t>[Comentario encadenado]
Su versión de Excel le permite leer este comentario encadenado; sin embargo, las ediciones que se apliquen se quitarán si el archivo se abre en una versión más reciente de Excel. Más información: https://go.microsoft.com/fwlink/?linkid=870924
Comentario:
    25OT2177 HBL CONTRA ENTREGA DE ORIGINAL
25OT2239 HBL TELEX RELEASE OK LIBERAR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nsulta1" description="Conexión a la consulta 'Consulta1' en el libro." type="5" refreshedVersion="8" background="1" saveData="1">
    <dbPr connection="Provider=Microsoft.Mashup.OleDb.1;Data Source=$Workbook$;Location=Consulta1;Extended Properties=&quot;&quot;" command="SELECT * FROM [Consulta1]"/>
  </connection>
</connections>
</file>

<file path=xl/sharedStrings.xml><?xml version="1.0" encoding="utf-8"?>
<sst xmlns="http://schemas.openxmlformats.org/spreadsheetml/2006/main" count="2155" uniqueCount="623">
  <si>
    <t>ESTATUS</t>
  </si>
  <si>
    <t>NAVIERA</t>
  </si>
  <si>
    <t>TIPO DE EMBARQUE</t>
  </si>
  <si>
    <t>PUERTO DE ARRIBO</t>
  </si>
  <si>
    <t>DESTINO FINAL</t>
  </si>
  <si>
    <t>PUERTO DE TRANSBORDO</t>
  </si>
  <si>
    <t>TRANSITO</t>
  </si>
  <si>
    <t>AEROEXPRESS</t>
  </si>
  <si>
    <t>AIR</t>
  </si>
  <si>
    <t>ACAJUTLA, EL SALVADOR</t>
  </si>
  <si>
    <t>BUENAVENTURA, COLOMBIA</t>
  </si>
  <si>
    <t>PUERTO</t>
  </si>
  <si>
    <t>AMERICAN AIRLINE</t>
  </si>
  <si>
    <t>BREAKBULK</t>
  </si>
  <si>
    <t>AEROPUERTO, BELICE</t>
  </si>
  <si>
    <t>CARTAGENA, COLOMBIA</t>
  </si>
  <si>
    <t>BODEGA</t>
  </si>
  <si>
    <t>AMERIJET</t>
  </si>
  <si>
    <t>CROSSBOARD</t>
  </si>
  <si>
    <t>AEROPUERTO, COSTA RICA</t>
  </si>
  <si>
    <t>KINGSTON, JAMAICA</t>
  </si>
  <si>
    <t>FINALIZADA</t>
  </si>
  <si>
    <t>AVIANCA</t>
  </si>
  <si>
    <t>CROSSDOCKING</t>
  </si>
  <si>
    <t>AEROPUERTO, EL SALVADOR</t>
  </si>
  <si>
    <t>LAZARO CARDENAS, MEXICO</t>
  </si>
  <si>
    <t>CERRADA</t>
  </si>
  <si>
    <t>CHARTER LINK</t>
  </si>
  <si>
    <t>FCL</t>
  </si>
  <si>
    <t>AEROPUERTO, GUATEMALA</t>
  </si>
  <si>
    <t>N/A</t>
  </si>
  <si>
    <t>DISPUTA</t>
  </si>
  <si>
    <t>CMA CGM</t>
  </si>
  <si>
    <t>FTL</t>
  </si>
  <si>
    <t>AEROPUERTO, HONDURAS</t>
  </si>
  <si>
    <t>RODMAN, PANAMA</t>
  </si>
  <si>
    <t>COPA CARGO</t>
  </si>
  <si>
    <t>LCL</t>
  </si>
  <si>
    <t>AEROPUERTO, NICARAGUA</t>
  </si>
  <si>
    <t>COSCO</t>
  </si>
  <si>
    <t>LTL</t>
  </si>
  <si>
    <t>AEROPUERTO, PANAMA</t>
  </si>
  <si>
    <t>CROWLEY</t>
  </si>
  <si>
    <t>RORO</t>
  </si>
  <si>
    <t>BALBOA, PANAMA</t>
  </si>
  <si>
    <t>DACOTRANS</t>
  </si>
  <si>
    <t>SERVICIOS EN DESTINO</t>
  </si>
  <si>
    <t>BARRIOS, GUATEMALA</t>
  </si>
  <si>
    <t>DELTA</t>
  </si>
  <si>
    <t>BELICE CITY, BELICE</t>
  </si>
  <si>
    <t>DHL CARGO</t>
  </si>
  <si>
    <t>DHL EXPRESS</t>
  </si>
  <si>
    <t>CALDERA, COSTA RICA</t>
  </si>
  <si>
    <t>ECU WORDWILDE</t>
  </si>
  <si>
    <t>EVERGREEN LINE</t>
  </si>
  <si>
    <t>CAUCEDO, REP DOMINICANA</t>
  </si>
  <si>
    <t>FAST CARGO</t>
  </si>
  <si>
    <t>CHARLESTOWN, NEVIS</t>
  </si>
  <si>
    <t>HAPAG LLOYD</t>
  </si>
  <si>
    <t>CORINTO, NICARAGUA</t>
  </si>
  <si>
    <t>IBERIA / INALBRI</t>
  </si>
  <si>
    <t>K LINE</t>
  </si>
  <si>
    <t>CRISTOBAL, PANAMA</t>
  </si>
  <si>
    <t>LATAM</t>
  </si>
  <si>
    <t>GEORGETOWN, GUYANA</t>
  </si>
  <si>
    <t>MAERSK</t>
  </si>
  <si>
    <t>GUAYAQUIL, ECUADOR</t>
  </si>
  <si>
    <t>MOL</t>
  </si>
  <si>
    <t>HAINA, REP DOMINICANA</t>
  </si>
  <si>
    <t>MSC</t>
  </si>
  <si>
    <t>OCEANICA</t>
  </si>
  <si>
    <t>MANZANILLO, PANAMA</t>
  </si>
  <si>
    <t>ONE</t>
  </si>
  <si>
    <t>MOIN, COSTA RICA</t>
  </si>
  <si>
    <t>OOCL</t>
  </si>
  <si>
    <t>PUNTA LISAS, TRINIDAD Y TOBAGO</t>
  </si>
  <si>
    <t>PCS</t>
  </si>
  <si>
    <t>QUETZAL, GUATEMALA</t>
  </si>
  <si>
    <t>PIER 17</t>
  </si>
  <si>
    <t>LA LIBERTAD, EL SALVADOR</t>
  </si>
  <si>
    <t>SAN ANTONIO, CHILE</t>
  </si>
  <si>
    <t>LA PAZ, EL SALVADOR</t>
  </si>
  <si>
    <t>SEABOARD MARINE</t>
  </si>
  <si>
    <t>SAN LORENZO, HONDURAS</t>
  </si>
  <si>
    <t>LA UNION, EL SALVADOR</t>
  </si>
  <si>
    <t>SIL</t>
  </si>
  <si>
    <t>SANTO TOMAS DE CASTILLA, GUATEMALA</t>
  </si>
  <si>
    <t>MANAGUA, NICARAGUA</t>
  </si>
  <si>
    <t>WAN HAI</t>
  </si>
  <si>
    <t>SANTOS, BRASIL</t>
  </si>
  <si>
    <t>YANG MING</t>
  </si>
  <si>
    <t>ZANTE, SAINT KITTS</t>
  </si>
  <si>
    <t>ZIM</t>
  </si>
  <si>
    <t>MORAZAN, EL SALVADOR</t>
  </si>
  <si>
    <t>PANAMA, PANAMA</t>
  </si>
  <si>
    <t>SAN JOSE, COSTA RICA</t>
  </si>
  <si>
    <t>SAN MIGUEL, EL SALVADOR</t>
  </si>
  <si>
    <t>SAN SALVADOR CFS, EL SALVADOR</t>
  </si>
  <si>
    <t>SAN SALVADOR, EL SALVADOR</t>
  </si>
  <si>
    <t>SAN VICENTE, EL SALVADOR</t>
  </si>
  <si>
    <t>SANTA ANA, EL SALVADOR</t>
  </si>
  <si>
    <t>SONSONATE, EL SALVADOR</t>
  </si>
  <si>
    <t>TEGUCIGALPA, HONDURAS</t>
  </si>
  <si>
    <t>USULUTAN, EL SALVADOR</t>
  </si>
  <si>
    <t>COMENTARIOS</t>
  </si>
  <si>
    <t>OT</t>
  </si>
  <si>
    <t>EXPRESS RELEASE (HBL)</t>
  </si>
  <si>
    <t>CONTRA ENTREGA DE ORIGINAL (HBL)</t>
  </si>
  <si>
    <t>ENTREGA DE DOC. ORIGINAL AL CNEE</t>
  </si>
  <si>
    <t>NOMBRE DEL CONSIGNATARIO</t>
  </si>
  <si>
    <t>NO. DOC HOUSE</t>
  </si>
  <si>
    <t>NO. DOC MASTER</t>
  </si>
  <si>
    <t>NUMERO CNTR</t>
  </si>
  <si>
    <t>TOTAL DE CNTR</t>
  </si>
  <si>
    <t>NAVIERA (Destino)</t>
  </si>
  <si>
    <t>PUERTO DE ARRIBO/PAIS</t>
  </si>
  <si>
    <t>DESTINO FINAL DE EMBARQUE</t>
  </si>
  <si>
    <t xml:space="preserve">SOLICITUD  MOVIMIENTO PRESTAMO DE EQUIPO </t>
  </si>
  <si>
    <t>BARCO Y VIAJE DE ARRIBO</t>
  </si>
  <si>
    <t>FECHA EMISION DE MB/L</t>
  </si>
  <si>
    <t>TIEMPO DE TRANSITO</t>
  </si>
  <si>
    <t>ALERTA NOTIFICACIÓN</t>
  </si>
  <si>
    <t>¿PRE ALERTARDO?</t>
  </si>
  <si>
    <t>FECHA ENVIO PRE-ALERTA AL CNEE</t>
  </si>
  <si>
    <t>ALERTA FACTURACION</t>
  </si>
  <si>
    <t>¿FACTURADO?</t>
  </si>
  <si>
    <t>FECHA SOLICITUD FACTURACION</t>
  </si>
  <si>
    <t>FECHA RECEPCION DE FACTURA</t>
  </si>
  <si>
    <t>RECEPCION OT</t>
  </si>
  <si>
    <t>PUERTO DE SALIDA (ORIGEN)</t>
  </si>
  <si>
    <t>ETD</t>
  </si>
  <si>
    <t>ARRIBO A TRANSBORDO</t>
  </si>
  <si>
    <t>TIEMPO EN TRANSBORDO</t>
  </si>
  <si>
    <t>PROVISION DE PROVEEDOR</t>
  </si>
  <si>
    <t>ENVIO MF A NAVIERA PARA TARJA</t>
  </si>
  <si>
    <t>ENVIO CIERRE DE OT</t>
  </si>
  <si>
    <t>OPERATIVO</t>
  </si>
  <si>
    <t>Columna1</t>
  </si>
  <si>
    <t xml:space="preserve">25OT1812 </t>
  </si>
  <si>
    <t>Alpina, Limitada de Capital Variable</t>
  </si>
  <si>
    <t xml:space="preserve">PDES00100244 </t>
  </si>
  <si>
    <t>ONEYSELFA2023300</t>
  </si>
  <si>
    <t xml:space="preserve">TRHU4850758 </t>
  </si>
  <si>
    <t>SI</t>
  </si>
  <si>
    <t xml:space="preserve"> Busan, Korea</t>
  </si>
  <si>
    <t>JENNIFER</t>
  </si>
  <si>
    <t>EL AMATILLO, EL SALVADOR</t>
  </si>
  <si>
    <t>EL POY, HONDURAS</t>
  </si>
  <si>
    <t>GUASAULE, HONDURAS</t>
  </si>
  <si>
    <t>LA HACHADURA, EL SALVADOR</t>
  </si>
  <si>
    <t>REX CARGO</t>
  </si>
  <si>
    <t>PEÑAS BLANCAS, COSTA RICA</t>
  </si>
  <si>
    <t>POSORJA, ECUADOR</t>
  </si>
  <si>
    <t>SEALES</t>
  </si>
  <si>
    <t>LOURDES, LA LIIBERTAD</t>
  </si>
  <si>
    <t>VENTO COSTA RICA</t>
  </si>
  <si>
    <t>VENTO GUATEMALA</t>
  </si>
  <si>
    <t>VENTO HONDURAS</t>
  </si>
  <si>
    <t>VENTO NICARAGUA</t>
  </si>
  <si>
    <t>PANAMA PACIFICO, PANAMA</t>
  </si>
  <si>
    <t>SAN PEDRO SULA, HONDURAS</t>
  </si>
  <si>
    <t>ZONA LIBRE COLON, PANAMA</t>
  </si>
  <si>
    <t>ZONA LIBRE QUETZAL, GUATEMALA</t>
  </si>
  <si>
    <t>GLOVIS</t>
  </si>
  <si>
    <t>LIMON, COSTA RICA</t>
  </si>
  <si>
    <t xml:space="preserve">25OT1751 </t>
  </si>
  <si>
    <t xml:space="preserve">25OT1749  </t>
  </si>
  <si>
    <t>WSLPGU2506201</t>
  </si>
  <si>
    <t>AYN1251864</t>
  </si>
  <si>
    <t>TXGU4346582</t>
  </si>
  <si>
    <t>Pasir Gudang</t>
  </si>
  <si>
    <t>MAGDALENA SCHULTE 0M30PS1MA</t>
  </si>
  <si>
    <t>X-PRESS MACHU PICCHU 25028S</t>
  </si>
  <si>
    <t>ONEYNB5BCN118500</t>
  </si>
  <si>
    <t>SYNNGB25SE061804</t>
  </si>
  <si>
    <t>ONEU0596920 ONEU0854752 ONEU5951040</t>
  </si>
  <si>
    <t>NINGBO</t>
  </si>
  <si>
    <t>25OT1327</t>
  </si>
  <si>
    <t>MARIO´S AUTO PARTS, S.A. DE C.V.</t>
  </si>
  <si>
    <t>SYNSHA25SE041889</t>
  </si>
  <si>
    <t>TWN0953775</t>
  </si>
  <si>
    <t>CMAU7496685</t>
  </si>
  <si>
    <t>CHIAPAS STAR 0M3S5N1MA</t>
  </si>
  <si>
    <t>KAOHSIUNG, TAIWAN</t>
  </si>
  <si>
    <t>25OT1073</t>
  </si>
  <si>
    <t>SYNSHA25SE040282</t>
  </si>
  <si>
    <t>TWN0956298</t>
  </si>
  <si>
    <t>CMAU5551633</t>
  </si>
  <si>
    <t>25OT1513</t>
  </si>
  <si>
    <t>SYNSHA25SE051334</t>
  </si>
  <si>
    <t>ONEYTPEF36921400</t>
  </si>
  <si>
    <t xml:space="preserve">TCLU8469245 </t>
  </si>
  <si>
    <t>25OT1709</t>
  </si>
  <si>
    <t>SYNNKG25SE060016</t>
  </si>
  <si>
    <t>JNG0255165</t>
  </si>
  <si>
    <t>CMAU6155025</t>
  </si>
  <si>
    <t>CHANGZHOU, CHINA</t>
  </si>
  <si>
    <t>25OT1648</t>
  </si>
  <si>
    <t xml:space="preserve">SYNSHA25SE061386 </t>
  </si>
  <si>
    <t>CHN2345793</t>
  </si>
  <si>
    <t xml:space="preserve">TCLU4965490 </t>
  </si>
  <si>
    <t>SHANGHAI, CHINA</t>
  </si>
  <si>
    <t>25OT1654</t>
  </si>
  <si>
    <t>SYNSHA25SE060308</t>
  </si>
  <si>
    <t>TWN0963300</t>
  </si>
  <si>
    <t>SEKU5812783</t>
  </si>
  <si>
    <t>CRÉDITO</t>
  </si>
  <si>
    <t>FECHA ATRAQUE</t>
  </si>
  <si>
    <t>FECHA TARJA</t>
  </si>
  <si>
    <t>DIAS LIBRES ALMACENAJE</t>
  </si>
  <si>
    <t>RETIRO DE PUERTO</t>
  </si>
  <si>
    <t>ALERTA ALMACENAJES</t>
  </si>
  <si>
    <t>DIAS GENERADOS ALMACENAJE</t>
  </si>
  <si>
    <t>FACTURACION ALMACENAJE</t>
  </si>
  <si>
    <t>DIAS LIBRES DEMORA</t>
  </si>
  <si>
    <t>ENTREGA DE VACIO EN PREDIO</t>
  </si>
  <si>
    <t>ALERTA DEMORA</t>
  </si>
  <si>
    <t>DIAS GENERADOS DEMORA</t>
  </si>
  <si>
    <t>FACTURACION DEMORAS</t>
  </si>
  <si>
    <t>INFORMACIÓN GENERAL</t>
  </si>
  <si>
    <t>ALERTA #1</t>
  </si>
  <si>
    <t>ALERTA #2</t>
  </si>
  <si>
    <t xml:space="preserve">25OT2016  </t>
  </si>
  <si>
    <t>X-PRESS MACHU PICCHU 25031S</t>
  </si>
  <si>
    <t>TCNU7093844</t>
  </si>
  <si>
    <t>ONEYTPEF52704800</t>
  </si>
  <si>
    <t>SYNSHA25SE070517</t>
  </si>
  <si>
    <t>KEELUNG PT, TAIWAN</t>
  </si>
  <si>
    <t>NOMADIC HJELLESTAD 12S2OR</t>
  </si>
  <si>
    <t>MAGDALENA SCHULTE 0M30QN1MA</t>
  </si>
  <si>
    <t xml:space="preserve">25OT2193 </t>
  </si>
  <si>
    <t>INVERSIONES LEMUS, S.A. DE C.V.</t>
  </si>
  <si>
    <t>25OT1981</t>
  </si>
  <si>
    <t>CORBES, S.A. DE C.V.</t>
  </si>
  <si>
    <t>WLC50623131</t>
  </si>
  <si>
    <t>ONEYNBOF83938900</t>
  </si>
  <si>
    <t>TCNU5515750 FFAU1453750 ONEU5955977 UETU5835600</t>
  </si>
  <si>
    <t>NINGBO, CHINA</t>
  </si>
  <si>
    <t>25OT2009</t>
  </si>
  <si>
    <t>SYNNGB25SE070870</t>
  </si>
  <si>
    <t>UETU2633904 MRSU0313640</t>
  </si>
  <si>
    <t>SEASPAN LIMA 532S</t>
  </si>
  <si>
    <t>XINGANG, CHINA</t>
  </si>
  <si>
    <t>25OT135A</t>
  </si>
  <si>
    <t>64 1057 4881</t>
  </si>
  <si>
    <t>TAOYUAN, CHINA</t>
  </si>
  <si>
    <t>LPFE2507001406</t>
  </si>
  <si>
    <t>MRKU5669986 CAAU7988993</t>
  </si>
  <si>
    <t>MAERSK NEWHAVEN 532S</t>
  </si>
  <si>
    <t>SAVANNAH</t>
  </si>
  <si>
    <t xml:space="preserve">25OT1395 </t>
  </si>
  <si>
    <t>GRUPO SPLIT</t>
  </si>
  <si>
    <t>SYNCAN25SE050156</t>
  </si>
  <si>
    <t>ZSN0740462</t>
  </si>
  <si>
    <t>CMAU4564620</t>
  </si>
  <si>
    <t>ZHONGSHAN, CHINA</t>
  </si>
  <si>
    <t>25OT1700</t>
  </si>
  <si>
    <t>ENVIAR DOCS SEALES</t>
  </si>
  <si>
    <t>GRANADOS CRUZ, S.A. DE C.V.</t>
  </si>
  <si>
    <t>SYNTAO25SE060132</t>
  </si>
  <si>
    <t>QGD1926057</t>
  </si>
  <si>
    <t>ECMU7708370</t>
  </si>
  <si>
    <t>QINGDAO, CHINA</t>
  </si>
  <si>
    <t>MARCELA</t>
  </si>
  <si>
    <t>25OT1703</t>
  </si>
  <si>
    <t>SYNTSN25SE060859</t>
  </si>
  <si>
    <t>TJN0693163</t>
  </si>
  <si>
    <t>UETU7356865, CAIU9658416</t>
  </si>
  <si>
    <t>ALMACENADORA</t>
  </si>
  <si>
    <t>DESPRENDIMIENTO</t>
  </si>
  <si>
    <t>MANZANILLO, MEXICO</t>
  </si>
  <si>
    <t>UPS EL SALVADOR (COURRIER)</t>
  </si>
  <si>
    <t>UPS EXPRESS (CARGO)</t>
  </si>
  <si>
    <t>MIXCO, GUATEMALA</t>
  </si>
  <si>
    <t>ZF MIRAMAR, EL SALVADOR</t>
  </si>
  <si>
    <t>COURIER</t>
  </si>
  <si>
    <t>APOPA, EL SALVADOR</t>
  </si>
  <si>
    <t>CORTES, HONDURAS</t>
  </si>
  <si>
    <t>CIUDAD DE GUATEMALA, GUATEMALA</t>
  </si>
  <si>
    <t>COLON, PANAMA</t>
  </si>
  <si>
    <t>AMATITLAN, GUATEMALA</t>
  </si>
  <si>
    <t>PIL EL SALVADOR</t>
  </si>
  <si>
    <t>PIL GUATEMALA</t>
  </si>
  <si>
    <t>Cuenta de OT</t>
  </si>
  <si>
    <t>Etiquetas de fila</t>
  </si>
  <si>
    <t>(en blanco)</t>
  </si>
  <si>
    <t>Total general</t>
  </si>
  <si>
    <t>(Varios elementos)</t>
  </si>
  <si>
    <t>25OT1951</t>
  </si>
  <si>
    <t>PDT</t>
  </si>
  <si>
    <t>SUPER REPUESTOS EL SALVADOR, S.A. DE C.V.</t>
  </si>
  <si>
    <t>SYNHKG25SE08004</t>
  </si>
  <si>
    <t>HKA2559811</t>
  </si>
  <si>
    <t>TLLU4312744</t>
  </si>
  <si>
    <t xml:space="preserve">
X-PRESS MACHU PICCHU 0M316N1MA</t>
  </si>
  <si>
    <t xml:space="preserve">25OT2217 </t>
  </si>
  <si>
    <t>NO LIBERAR</t>
  </si>
  <si>
    <t>SYNTSN25SE080008</t>
  </si>
  <si>
    <t>TJN0718520</t>
  </si>
  <si>
    <t>X-PRESS MACHU PICCHU 0M310N1MA</t>
  </si>
  <si>
    <t>TIANJIN XINGANG</t>
  </si>
  <si>
    <t xml:space="preserve">25OT2302 </t>
  </si>
  <si>
    <t>SYNNGB25SE080303</t>
  </si>
  <si>
    <t>NGIC50482200</t>
  </si>
  <si>
    <t>PCIU9235562</t>
  </si>
  <si>
    <t xml:space="preserve">25OT1885 </t>
  </si>
  <si>
    <t>SYNNGB25SE072379</t>
  </si>
  <si>
    <t>NGIC50482100</t>
  </si>
  <si>
    <t>PCIU8727444</t>
  </si>
  <si>
    <t xml:space="preserve">25OT1863 </t>
  </si>
  <si>
    <t>SYNNGB25SE080275</t>
  </si>
  <si>
    <t>NGP2690002</t>
  </si>
  <si>
    <t>CMAU3761292</t>
  </si>
  <si>
    <t>X-PRESS MACHU PICCHU 0M316N1MA</t>
  </si>
  <si>
    <t xml:space="preserve">25OT2309 </t>
  </si>
  <si>
    <t>GSZACA25080110</t>
  </si>
  <si>
    <t>ONEYTAOFD2143600</t>
  </si>
  <si>
    <t xml:space="preserve">25OT2239 </t>
  </si>
  <si>
    <t>OK</t>
  </si>
  <si>
    <t>SYNHKG25SE080007</t>
  </si>
  <si>
    <t>HKA2567435</t>
  </si>
  <si>
    <t>CAIU9743863</t>
  </si>
  <si>
    <t>MAGDALENA SCHULTE 0M31EN1MA</t>
  </si>
  <si>
    <t>HONG KONG, CHINA</t>
  </si>
  <si>
    <t xml:space="preserve">25OT2065 </t>
  </si>
  <si>
    <t>SYNHKG25SE080005</t>
  </si>
  <si>
    <t>HKA2561183</t>
  </si>
  <si>
    <t>CMAU6000487</t>
  </si>
  <si>
    <t xml:space="preserve">25OT2167 </t>
  </si>
  <si>
    <t>BKKWSL2500339</t>
  </si>
  <si>
    <t>THD1392607</t>
  </si>
  <si>
    <t>TCKU3562574</t>
  </si>
  <si>
    <t>BUSAN KOREA</t>
  </si>
  <si>
    <t xml:space="preserve">25OT2089 </t>
  </si>
  <si>
    <t>SYNSHA25SE080263</t>
  </si>
  <si>
    <t>CHN2555033</t>
  </si>
  <si>
    <t>BEAU4657156</t>
  </si>
  <si>
    <t xml:space="preserve">25OT2149 </t>
  </si>
  <si>
    <t>SYNHKG25SE080006</t>
  </si>
  <si>
    <t>CMAU6579928</t>
  </si>
  <si>
    <t>ONEU3060308</t>
  </si>
  <si>
    <t>X-PRESS MACHU PICCHU VXPM5037S</t>
  </si>
  <si>
    <t>NO</t>
  </si>
  <si>
    <t>ECMU4975434 ECMU7123811</t>
  </si>
  <si>
    <t xml:space="preserve">HKA2561177 </t>
  </si>
  <si>
    <t xml:space="preserve">25OT1590 </t>
  </si>
  <si>
    <t>MEDUH5959307</t>
  </si>
  <si>
    <t>MSDU6922565</t>
  </si>
  <si>
    <t>MSC TIPHAINE II LO535A</t>
  </si>
  <si>
    <t xml:space="preserve">25OT1862 </t>
  </si>
  <si>
    <t>SYNHKG25SE070009</t>
  </si>
  <si>
    <t>HKA2547461</t>
  </si>
  <si>
    <t>UETU7753327</t>
  </si>
  <si>
    <t>25OT1657</t>
  </si>
  <si>
    <t>SYNHKG25SE070001</t>
  </si>
  <si>
    <t>HKA2545394</t>
  </si>
  <si>
    <t>UETU6964407</t>
  </si>
  <si>
    <t xml:space="preserve">25OT2165 </t>
  </si>
  <si>
    <t>SYNCAN25SE070578</t>
  </si>
  <si>
    <t>SHZ7424295</t>
  </si>
  <si>
    <t>CMAU7093714</t>
  </si>
  <si>
    <t xml:space="preserve">25OT2144 </t>
  </si>
  <si>
    <t>SYNCAN25SE070319</t>
  </si>
  <si>
    <t>SHZ7397518</t>
  </si>
  <si>
    <t>TGHU9631180</t>
  </si>
  <si>
    <t xml:space="preserve">25OT2067 </t>
  </si>
  <si>
    <t>SYNSHA25SE070731</t>
  </si>
  <si>
    <t>TWN0973141</t>
  </si>
  <si>
    <t>TCNU1688188</t>
  </si>
  <si>
    <t>25OT2163</t>
  </si>
  <si>
    <t>SYNNGB25SE071369</t>
  </si>
  <si>
    <t>ONEYNB5BCT618700</t>
  </si>
  <si>
    <t>ONEU1404683</t>
  </si>
  <si>
    <t>X-PRESS MACHU PICCHU 25034S</t>
  </si>
  <si>
    <t>SHEKOU</t>
  </si>
  <si>
    <t>SHEKOU, CHINA</t>
  </si>
  <si>
    <t>KAOHSIUNG</t>
  </si>
  <si>
    <t xml:space="preserve">25OT2134 </t>
  </si>
  <si>
    <t>ONEYTPEF56545800</t>
  </si>
  <si>
    <t>SYNSHA25SE071029</t>
  </si>
  <si>
    <t>TGHU5254540 TCKU4622467</t>
  </si>
  <si>
    <t>MAGDALENA SCHULTE 0M317S1MA</t>
  </si>
  <si>
    <t>25OT1753</t>
  </si>
  <si>
    <t>SYNSHA25SE070295</t>
  </si>
  <si>
    <t>CHN2458701</t>
  </si>
  <si>
    <t>SEKU5748133</t>
  </si>
  <si>
    <t xml:space="preserve">25OT1976 </t>
  </si>
  <si>
    <t>SYNSHA25SE070785</t>
  </si>
  <si>
    <t>CHN2485934</t>
  </si>
  <si>
    <t>CSOU1252398, FCIU4533585</t>
  </si>
  <si>
    <t xml:space="preserve">25OT1977 </t>
  </si>
  <si>
    <t>SYNSHA25SE070784</t>
  </si>
  <si>
    <t>CHN2485880</t>
  </si>
  <si>
    <t xml:space="preserve">25OT1604 </t>
  </si>
  <si>
    <t>SYNNGB25SE07042901</t>
  </si>
  <si>
    <t>NGP2576493</t>
  </si>
  <si>
    <t>CAAU2854311</t>
  </si>
  <si>
    <t xml:space="preserve">25OT2125 </t>
  </si>
  <si>
    <t>SYNTAO25SE070344</t>
  </si>
  <si>
    <t>QGD2038128</t>
  </si>
  <si>
    <t>CAIU7380120, SEKU1892271</t>
  </si>
  <si>
    <t>MAGDALENA SCHULTE 0M30WN1MA</t>
  </si>
  <si>
    <t>QINGDAO</t>
  </si>
  <si>
    <t xml:space="preserve">25OT2411 </t>
  </si>
  <si>
    <t>ONEYNB5BCX134400</t>
  </si>
  <si>
    <t>SYNNGB25SE081363</t>
  </si>
  <si>
    <t>FFAU6483001</t>
  </si>
  <si>
    <t xml:space="preserve">MAGDALENA SCHULTE  0M312N1MA </t>
  </si>
  <si>
    <t>MAGDALENA SCHULTE 0M312N1MA</t>
  </si>
  <si>
    <t xml:space="preserve">25OT2263 </t>
  </si>
  <si>
    <t>QGD2142705</t>
  </si>
  <si>
    <t>TCNU4653098</t>
  </si>
  <si>
    <t>SYNTAO25SE080181</t>
  </si>
  <si>
    <t>QUIGDAO</t>
  </si>
  <si>
    <t xml:space="preserve">25OT1752  </t>
  </si>
  <si>
    <t xml:space="preserve">25OT1399 </t>
  </si>
  <si>
    <t xml:space="preserve">25OT1575 </t>
  </si>
  <si>
    <t xml:space="preserve">25OT1131 </t>
  </si>
  <si>
    <t xml:space="preserve">25OT1487 </t>
  </si>
  <si>
    <t xml:space="preserve">25OT1633 </t>
  </si>
  <si>
    <t>25OT1941</t>
  </si>
  <si>
    <t>25OT1920</t>
  </si>
  <si>
    <t xml:space="preserve">25OT1917 </t>
  </si>
  <si>
    <t>25OT2023</t>
  </si>
  <si>
    <t>25OT2025</t>
  </si>
  <si>
    <t>25OT2075</t>
  </si>
  <si>
    <t>SYNNGB25SE061805</t>
  </si>
  <si>
    <t>ONEYNB5BCN119600</t>
  </si>
  <si>
    <t>ONEU5587685, TCLU4598558</t>
  </si>
  <si>
    <t>SYNSHA25SE050297</t>
  </si>
  <si>
    <t>TWN0955535</t>
  </si>
  <si>
    <t>SEGU4747610</t>
  </si>
  <si>
    <t>SYNSHA25SE060055</t>
  </si>
  <si>
    <t>TWN0959795</t>
  </si>
  <si>
    <t>CMAU8556475</t>
  </si>
  <si>
    <t>SYNHKG25SE060014</t>
  </si>
  <si>
    <t>HKA2537899</t>
  </si>
  <si>
    <t>SYNHKG25SE060010</t>
  </si>
  <si>
    <t>HKA2539966</t>
  </si>
  <si>
    <t>ECMU7639201</t>
  </si>
  <si>
    <t>SYNHKG25SE060012</t>
  </si>
  <si>
    <t>HKA2543628</t>
  </si>
  <si>
    <t>ECMU7140315</t>
  </si>
  <si>
    <t>SYNSHA25SE062212</t>
  </si>
  <si>
    <t>CHN2430012</t>
  </si>
  <si>
    <t>BMOU5487995</t>
  </si>
  <si>
    <t>SYNSHA25SE062166</t>
  </si>
  <si>
    <t>CHN2426084</t>
  </si>
  <si>
    <t>ECMU7609640</t>
  </si>
  <si>
    <t>WLC50616094</t>
  </si>
  <si>
    <t>ONEYSZPFF6130401</t>
  </si>
  <si>
    <t>ONEU7513953</t>
  </si>
  <si>
    <t>PDES00100254</t>
  </si>
  <si>
    <t>ONEYSELFB4213700</t>
  </si>
  <si>
    <t>TLLU4737918</t>
  </si>
  <si>
    <t>PDES00100255</t>
  </si>
  <si>
    <t>ONEYSELFB4214800</t>
  </si>
  <si>
    <t>TEMU8638614</t>
  </si>
  <si>
    <t>PDES00100253</t>
  </si>
  <si>
    <t>ONEYSELFB5030500</t>
  </si>
  <si>
    <t>TRHU8041371</t>
  </si>
  <si>
    <t>NOMADIC HJELLESTAD  12S2OR</t>
  </si>
  <si>
    <t>SHANGHAI</t>
  </si>
  <si>
    <t xml:space="preserve">PUSAN </t>
  </si>
  <si>
    <t>TCNU6993754</t>
  </si>
  <si>
    <t>FACTURAS EN DISPUTAS</t>
  </si>
  <si>
    <t xml:space="preserve">24OT2730 </t>
  </si>
  <si>
    <t>CONSORCIO AUTOMOTRIZ S.A DE C.V.</t>
  </si>
  <si>
    <t>SYNTAO25SE010075</t>
  </si>
  <si>
    <t>QGD1557856</t>
  </si>
  <si>
    <t>CMAU3849418 SEKU5507310 TCNU3615766 TGHU9462291 TLLU7689238</t>
  </si>
  <si>
    <t>AQJ, SV</t>
  </si>
  <si>
    <t>MAGDALENA SCHULTE 0UC0BS1MA</t>
  </si>
  <si>
    <t>ERNESTO</t>
  </si>
  <si>
    <t>EN RADA</t>
  </si>
  <si>
    <t>FACT ADICIONALES</t>
  </si>
  <si>
    <t>KONVOY</t>
  </si>
  <si>
    <t>MONTEVIDEO, URUGUAY</t>
  </si>
  <si>
    <t>RORO SHIPPING</t>
  </si>
  <si>
    <t>CMAU3161678 APZU4782102</t>
  </si>
  <si>
    <t>CONTRA ENTREGA</t>
  </si>
  <si>
    <t>YA SE PUEDE CERRAR
CONTRA ENTREGA</t>
  </si>
  <si>
    <t>1) 25OT1657 
3) 25OT1594
4) 25OT1754</t>
  </si>
  <si>
    <t>19/07/2025
2) 25OT1707
5) 25OT1765</t>
  </si>
  <si>
    <t xml:space="preserve">18/8/2025
25OT1978 
25OT1753 </t>
  </si>
  <si>
    <t>OK TELEX, OK LIBERAR</t>
  </si>
  <si>
    <t>CONTRA ENTREGA 
21/8/2025</t>
  </si>
  <si>
    <t>CONTRA ENTREGA
2/9/2025</t>
  </si>
  <si>
    <t>19/09/2025 RECIBIDO</t>
  </si>
  <si>
    <t>NO GENERO CARGOS ADICIONALES</t>
  </si>
  <si>
    <t>PENDIENTE ENTREGA DE CONTENEDOR DE 40' PIES</t>
  </si>
  <si>
    <t>WLC50618368</t>
  </si>
  <si>
    <r>
      <rPr>
        <b/>
        <u/>
        <sz val="9"/>
        <rFont val="Calibri"/>
        <family val="2"/>
        <scheme val="minor"/>
      </rPr>
      <t>CONSOLIDADO 28</t>
    </r>
    <r>
      <rPr>
        <b/>
        <sz val="9"/>
        <rFont val="Calibri"/>
        <family val="2"/>
        <scheme val="minor"/>
      </rPr>
      <t xml:space="preserve">
25OT1657 	SHHKG250500015	
</t>
    </r>
    <r>
      <rPr>
        <b/>
        <sz val="9"/>
        <color rgb="FFC00000"/>
        <rFont val="Calibri"/>
        <family val="2"/>
        <scheme val="minor"/>
      </rPr>
      <t>(HBL CONTRA ENTREGA DE ORIGINAL)</t>
    </r>
    <r>
      <rPr>
        <b/>
        <sz val="9"/>
        <rFont val="Calibri"/>
        <family val="2"/>
        <scheme val="minor"/>
      </rPr>
      <t xml:space="preserve">
25OT1707 	HOEX25060019	
(HBL TELEX RELEASE OK LIBERAR)
25OT1754 	PORHKG256001
</t>
    </r>
    <r>
      <rPr>
        <b/>
        <sz val="9"/>
        <color rgb="FFC00000"/>
        <rFont val="Calibri"/>
        <family val="2"/>
        <scheme val="minor"/>
      </rPr>
      <t>(HBL CONTRA ENTREGA DE ORIGINAL)</t>
    </r>
    <r>
      <rPr>
        <b/>
        <sz val="9"/>
        <rFont val="Calibri"/>
        <family val="2"/>
        <scheme val="minor"/>
      </rPr>
      <t xml:space="preserve">
25OT1594 	PORHKG255028	
</t>
    </r>
    <r>
      <rPr>
        <b/>
        <sz val="9"/>
        <color rgb="FFC00000"/>
        <rFont val="Calibri"/>
        <family val="2"/>
        <scheme val="minor"/>
      </rPr>
      <t>(HBL CONTRA ENTREGA DE ORIGINAL)</t>
    </r>
    <r>
      <rPr>
        <b/>
        <sz val="9"/>
        <rFont val="Calibri"/>
        <family val="2"/>
        <scheme val="minor"/>
      </rPr>
      <t xml:space="preserve">
25OT1765 	USGAQJOE1983802 
(HBL TELEX RELEASE OK LIBERAR)</t>
    </r>
  </si>
  <si>
    <t>19/07/2025
25OT1590
25OT1593
12/8/2025
25OT1476</t>
  </si>
  <si>
    <t>1) 25OT1657 
3) 25OT1754
4) 25OT1594 PET</t>
  </si>
  <si>
    <t xml:space="preserve">27/8/2025
25OT2008 
16/09/2025
25OT1885
25OT2054
25OT2073 </t>
  </si>
  <si>
    <r>
      <t xml:space="preserve">NO GENERO CARGOS ADICIONALES
25OT1978 
BL: SHSAL250600015 </t>
    </r>
    <r>
      <rPr>
        <b/>
        <sz val="9"/>
        <color rgb="FFC00000"/>
        <rFont val="Calibri"/>
        <family val="2"/>
        <scheme val="minor"/>
      </rPr>
      <t xml:space="preserve">(HBL CONTRA ENTREGA DE ORIGINAL)
</t>
    </r>
    <r>
      <rPr>
        <b/>
        <sz val="9"/>
        <rFont val="Calibri"/>
        <family val="2"/>
        <scheme val="minor"/>
      </rPr>
      <t xml:space="preserve">
25OT1753 
BL: SHSAL250500017 </t>
    </r>
    <r>
      <rPr>
        <b/>
        <sz val="9"/>
        <color rgb="FFC00000"/>
        <rFont val="Calibri"/>
        <family val="2"/>
        <scheme val="minor"/>
      </rPr>
      <t>(HBL CONTRA ENTREGA DE ORIGINAL)</t>
    </r>
  </si>
  <si>
    <t>ONEYTPEF54971900</t>
  </si>
  <si>
    <t>SYNSHA25SE070931</t>
  </si>
  <si>
    <t>SEGU4330632</t>
  </si>
  <si>
    <t>25OT2133</t>
  </si>
  <si>
    <t>HBL CONTRA ENTREGA DE ORIGINAL</t>
  </si>
  <si>
    <t xml:space="preserve">HBL CONTRA ENTREGA DE ORIGINAL </t>
  </si>
  <si>
    <t>29/09/2025 
RECIBIDO</t>
  </si>
  <si>
    <t>30/09/2025
25OT1803</t>
  </si>
  <si>
    <r>
      <rPr>
        <b/>
        <u/>
        <sz val="9"/>
        <rFont val="Calibri"/>
        <family val="2"/>
        <scheme val="minor"/>
      </rPr>
      <t>CONSOLIDADO 30</t>
    </r>
    <r>
      <rPr>
        <b/>
        <sz val="9"/>
        <rFont val="Calibri"/>
        <family val="2"/>
        <scheme val="minor"/>
      </rPr>
      <t xml:space="preserve">
</t>
    </r>
    <r>
      <rPr>
        <b/>
        <sz val="9"/>
        <color rgb="FF00B050"/>
        <rFont val="Calibri"/>
        <family val="2"/>
        <scheme val="minor"/>
      </rPr>
      <t xml:space="preserve">25OT1862 	PORHKG256008
HBL CONTRA ENTREGA DE ORIGINAL 
</t>
    </r>
    <r>
      <rPr>
        <b/>
        <sz val="9"/>
        <rFont val="Calibri"/>
        <family val="2"/>
        <scheme val="minor"/>
      </rPr>
      <t xml:space="preserve">
</t>
    </r>
    <r>
      <rPr>
        <b/>
        <sz val="9"/>
        <color rgb="FF00B050"/>
        <rFont val="Calibri"/>
        <family val="2"/>
        <scheme val="minor"/>
      </rPr>
      <t xml:space="preserve">25OT1803 	ESSASEL25061227 
TELEX RELEASE OK LIBERAR
</t>
    </r>
    <r>
      <rPr>
        <b/>
        <sz val="9"/>
        <rFont val="Calibri"/>
        <family val="2"/>
        <scheme val="minor"/>
      </rPr>
      <t xml:space="preserve">
</t>
    </r>
    <r>
      <rPr>
        <b/>
        <sz val="9"/>
        <color rgb="FF00B050"/>
        <rFont val="Calibri"/>
        <family val="2"/>
        <scheme val="minor"/>
      </rPr>
      <t xml:space="preserve">25OT1933 	HOEX25060334
HBL CONTRA ENTREGA DE ORIGINAL 
</t>
    </r>
    <r>
      <rPr>
        <b/>
        <sz val="9"/>
        <rFont val="Calibri"/>
        <family val="2"/>
        <scheme val="minor"/>
      </rPr>
      <t xml:space="preserve">
</t>
    </r>
    <r>
      <rPr>
        <b/>
        <sz val="9"/>
        <color rgb="FF00B050"/>
        <rFont val="Calibri"/>
        <family val="2"/>
        <scheme val="minor"/>
      </rPr>
      <t xml:space="preserve">25OT1854	 HTEX25060887
HBL CONTRA ENTREGA DE ORIGINAL 
25OT2026 	PORHKG256019
HBL CONTRA ENTREGA DE ORIGINAL 
</t>
    </r>
  </si>
  <si>
    <t>29/09/2025 
RECIBIDO
25OT1862
25OT1933
25OT1854
25OT2026</t>
  </si>
  <si>
    <t xml:space="preserve">23/08/2025
25OT2154 
05/09/2025
25OT2201 </t>
  </si>
  <si>
    <r>
      <rPr>
        <b/>
        <u/>
        <sz val="9"/>
        <rFont val="Calibri"/>
        <family val="2"/>
        <scheme val="minor"/>
      </rPr>
      <t>CONSOLIDADO 33</t>
    </r>
    <r>
      <rPr>
        <b/>
        <sz val="9"/>
        <rFont val="Calibri"/>
        <family val="2"/>
        <scheme val="minor"/>
      </rPr>
      <t xml:space="preserve">
</t>
    </r>
    <r>
      <rPr>
        <b/>
        <sz val="9"/>
        <color rgb="FF00B050"/>
        <rFont val="Calibri"/>
        <family val="2"/>
        <scheme val="minor"/>
      </rPr>
      <t xml:space="preserve">
25OT2089 	SHSAL250700001	
HBL CONTRA ENTREGA DE ORIGINAL</t>
    </r>
    <r>
      <rPr>
        <b/>
        <sz val="9"/>
        <rFont val="Calibri"/>
        <family val="2"/>
        <scheme val="minor"/>
      </rPr>
      <t xml:space="preserve">
</t>
    </r>
    <r>
      <rPr>
        <b/>
        <sz val="9"/>
        <color rgb="FF00B050"/>
        <rFont val="Calibri"/>
        <family val="2"/>
        <scheme val="minor"/>
      </rPr>
      <t xml:space="preserve">
25OT2154 	SHSAL250700003	
HBL TELEX RELEASE OK LIBERAR
</t>
    </r>
    <r>
      <rPr>
        <b/>
        <sz val="9"/>
        <rFont val="Calibri"/>
        <family val="2"/>
        <scheme val="minor"/>
      </rPr>
      <t xml:space="preserve">
</t>
    </r>
    <r>
      <rPr>
        <b/>
        <sz val="9"/>
        <color rgb="FF00B050"/>
        <rFont val="Calibri"/>
        <family val="2"/>
        <scheme val="minor"/>
      </rPr>
      <t xml:space="preserve">25OT2201 	SHSAL250700005	
HBL TELEX RELEASE OK LIBERAR
</t>
    </r>
  </si>
  <si>
    <t>29/09/2025
25OT2089
RECIBIO</t>
  </si>
  <si>
    <r>
      <rPr>
        <b/>
        <u/>
        <sz val="9"/>
        <color rgb="FF00B050"/>
        <rFont val="Calibri"/>
        <family val="2"/>
        <scheme val="minor"/>
      </rPr>
      <t>CONSOLIDADO 31</t>
    </r>
    <r>
      <rPr>
        <b/>
        <sz val="9"/>
        <color rgb="FF00B050"/>
        <rFont val="Calibri"/>
        <family val="2"/>
        <scheme val="minor"/>
      </rPr>
      <t xml:space="preserve">
(HBL TELEX RELEASE OK LIBERAR) TODOS
25OT2008 NBACA250700001
25OT1885 NBACA991200002
25OT2054	 NBACA991200004
25OT2073 NBACA991200003</t>
    </r>
  </si>
  <si>
    <t>CONTRA ENTREGA DE ORIGINAL</t>
  </si>
  <si>
    <t xml:space="preserve">25OT936 </t>
  </si>
  <si>
    <t>ALPINA, LIMITADA DE CAPITAL VARIABLE</t>
  </si>
  <si>
    <t>SYNTSN25SE030330</t>
  </si>
  <si>
    <t>TJN0606856</t>
  </si>
  <si>
    <t>TGBU4933951</t>
  </si>
  <si>
    <t>CHIAPAS STAR 0M3S1N1MA</t>
  </si>
  <si>
    <t>24OT1174</t>
  </si>
  <si>
    <t>DISTRIBUIDORA SALVADOREÑA, S.A. DE C.V.</t>
  </si>
  <si>
    <t>SAS37979836</t>
  </si>
  <si>
    <t>CAIU9537522</t>
  </si>
  <si>
    <t>LIBERACION DOCUMENTAL</t>
  </si>
  <si>
    <t xml:space="preserve">SYNHKG25SE070009
</t>
  </si>
  <si>
    <t xml:space="preserve">SYNSHA25SE080263
</t>
  </si>
  <si>
    <r>
      <rPr>
        <b/>
        <u/>
        <sz val="9"/>
        <color theme="1"/>
        <rFont val="Calibri"/>
        <family val="2"/>
        <scheme val="minor"/>
      </rPr>
      <t>CONSOLIDADO 30</t>
    </r>
    <r>
      <rPr>
        <sz val="9"/>
        <color theme="1"/>
        <rFont val="Calibri"/>
        <family val="2"/>
        <scheme val="minor"/>
      </rPr>
      <t xml:space="preserve">
25OT1862 	PORHKG256008
HBL CONTRA ENTREGA DE ORIGINAL 
25OT1803 	ESSASEL25061227 
TELEX RELEASE OK LIBERAR
25OT1933 	HOEX25060334
HBL CONTRA ENTREGA DE ORIGINAL 
25OT1854	 HTEX25060887
HBL CONTRA ENTREGA DE ORIGINAL 
25OT2026 	PORHKG256019
HBL CONTRA ENTREGA DE ORIGINAL 
</t>
    </r>
  </si>
  <si>
    <r>
      <rPr>
        <b/>
        <u/>
        <sz val="9"/>
        <color theme="1"/>
        <rFont val="Calibri"/>
        <family val="2"/>
        <scheme val="minor"/>
      </rPr>
      <t>CONSOLIDADO 33</t>
    </r>
    <r>
      <rPr>
        <sz val="9"/>
        <color theme="1"/>
        <rFont val="Calibri"/>
        <family val="2"/>
        <scheme val="minor"/>
      </rPr>
      <t xml:space="preserve">
25OT2089 	SHSAL250700001	
HBL CONTRA ENTREGA DE ORIGINAL
25OT2154 	SHSAL250700003	
HBL TELEX RELEASE OK LIBERAR
25OT2201 	SHSAL250700005	
HBL TELEX RELEASE OK LIBERAR
</t>
    </r>
  </si>
  <si>
    <t>INSTRUCCIONES DE EMISION B/L</t>
  </si>
  <si>
    <r>
      <t xml:space="preserve">CONTRA ENTREGA
</t>
    </r>
    <r>
      <rPr>
        <b/>
        <sz val="9"/>
        <color rgb="FFC00000"/>
        <rFont val="Calibri"/>
        <family val="2"/>
        <scheme val="minor"/>
      </rPr>
      <t>ENVIAR BOLETAS DE VACIO A MSC</t>
    </r>
  </si>
  <si>
    <r>
      <rPr>
        <b/>
        <u/>
        <sz val="9"/>
        <rFont val="Calibri"/>
        <family val="2"/>
        <scheme val="minor"/>
      </rPr>
      <t xml:space="preserve">CONSOLIDADO 27
</t>
    </r>
    <r>
      <rPr>
        <b/>
        <sz val="9"/>
        <color rgb="FFC00000"/>
        <rFont val="Calibri"/>
        <family val="2"/>
        <scheme val="minor"/>
      </rPr>
      <t>PET. BOLETA VACIO</t>
    </r>
    <r>
      <rPr>
        <b/>
        <sz val="9"/>
        <rFont val="Calibri"/>
        <family val="2"/>
        <scheme val="minor"/>
      </rPr>
      <t xml:space="preserve">
(HBL TELEX RELEASE OK LIBERAR) TODOS</t>
    </r>
    <r>
      <rPr>
        <sz val="9"/>
        <rFont val="Calibri"/>
        <family val="2"/>
        <scheme val="minor"/>
      </rPr>
      <t xml:space="preserve">
25OT1590 	ESSASEL25051955
25OT1593 	ESSAPUS25051645
25OT1476 	CM125JKTAQJ617
</t>
    </r>
  </si>
  <si>
    <r>
      <t xml:space="preserve">CONTRA ENTREGA
</t>
    </r>
    <r>
      <rPr>
        <b/>
        <sz val="9"/>
        <color rgb="FFC00000"/>
        <rFont val="Calibri"/>
        <family val="2"/>
        <scheme val="minor"/>
      </rPr>
      <t>ENVIAR BOLETAS DE VACIO A ONE</t>
    </r>
  </si>
  <si>
    <r>
      <t xml:space="preserve">OK TELEX, OK LIBERAR
</t>
    </r>
    <r>
      <rPr>
        <b/>
        <sz val="9"/>
        <color rgb="FFC00000"/>
        <rFont val="Calibri"/>
        <family val="2"/>
        <scheme val="minor"/>
      </rPr>
      <t>ENVIAR BOLETAS DE VACIO A CMA</t>
    </r>
  </si>
  <si>
    <r>
      <t xml:space="preserve">CONTRA ENTREGA
</t>
    </r>
    <r>
      <rPr>
        <b/>
        <sz val="9"/>
        <color rgb="FFC00000"/>
        <rFont val="Calibri"/>
        <family val="2"/>
        <scheme val="minor"/>
      </rPr>
      <t>ENVIAR BOLETAS DE VACIO A CMA</t>
    </r>
  </si>
  <si>
    <t xml:space="preserve">25OT2574 </t>
  </si>
  <si>
    <t xml:space="preserve">HBL TELEX RELEASE NO LIBERAR NO SE PUEDE LIBERAR POR FALTA DE PAGOS DE CNEE A SHIPPER
</t>
  </si>
  <si>
    <t xml:space="preserve">25OT2600 </t>
  </si>
  <si>
    <t>TJN0747402</t>
  </si>
  <si>
    <t>CMAU4903914
TRHU6502406</t>
  </si>
  <si>
    <t>SYNTSN25SE090092</t>
  </si>
  <si>
    <t>QGD2171372</t>
  </si>
  <si>
    <t>SEGU4913624</t>
  </si>
  <si>
    <t>SYNTAO25SE090045</t>
  </si>
  <si>
    <t xml:space="preserve">25OT2489 </t>
  </si>
  <si>
    <t>CFPU11252600992</t>
  </si>
  <si>
    <t>MRKU4173116</t>
  </si>
  <si>
    <t>GALLOWAY 546S</t>
  </si>
  <si>
    <t>X-PRESS MACHU PICCHU 0M31GN1MA</t>
  </si>
  <si>
    <t xml:space="preserve">25OT2412 </t>
  </si>
  <si>
    <t>PDES00100260</t>
  </si>
  <si>
    <t>SEL1954239</t>
  </si>
  <si>
    <t>SEKU4108403</t>
  </si>
  <si>
    <t xml:space="preserve">25OT2556 </t>
  </si>
  <si>
    <t>PDES00100261</t>
  </si>
  <si>
    <t>TCKU6824298</t>
  </si>
  <si>
    <t>SEL1959590</t>
  </si>
  <si>
    <t xml:space="preserve">25OT2258 </t>
  </si>
  <si>
    <t>HKA2569333</t>
  </si>
  <si>
    <t>BMOU4357873</t>
  </si>
  <si>
    <t>MAGDALENA SCHULTE 0M31SN1MA</t>
  </si>
  <si>
    <t>SYNHKG25SE080015</t>
  </si>
  <si>
    <t>25OT2225</t>
  </si>
  <si>
    <t>WLC50819940</t>
  </si>
  <si>
    <t>CONSOLIDADO 39</t>
  </si>
  <si>
    <t>PCIU8741550</t>
  </si>
  <si>
    <t>SHWL50310400</t>
  </si>
  <si>
    <t>MAGDALENA SCHULTE VMAG5039S</t>
  </si>
  <si>
    <t>CONSOLIDADO 38</t>
  </si>
  <si>
    <t xml:space="preserve">25OT2352 </t>
  </si>
  <si>
    <t xml:space="preserve">25OT2491 </t>
  </si>
  <si>
    <t>MEDUPQ803140</t>
  </si>
  <si>
    <t>FFAU3832666 MSMU4603035</t>
  </si>
  <si>
    <t>MSC SOMYA III LO539A</t>
  </si>
  <si>
    <t>LE1SVJ50001</t>
  </si>
  <si>
    <t xml:space="preserve">25OT2320 </t>
  </si>
  <si>
    <t>SEL500402700</t>
  </si>
  <si>
    <t>PCIU8971511</t>
  </si>
  <si>
    <t>PDES00100259</t>
  </si>
  <si>
    <t>SYNSHA25SE080771</t>
  </si>
  <si>
    <t>CHN2576806</t>
  </si>
  <si>
    <t>CMAU2151422 CMAU2836490</t>
  </si>
  <si>
    <t>OK TELEX, OK LIBERAR
SE PUEDE CERRAR, NO GENERO CARGOS</t>
  </si>
  <si>
    <t>PET.</t>
  </si>
  <si>
    <t>HBL TELEX RELEASE NO LIBERAR NO SE PUEDE LIBERAR POR FALTA DE PAGOS DE CNEE A SHIPPER</t>
  </si>
  <si>
    <r>
      <t xml:space="preserve">HBL CONTRA ENTREGA DE ORIGINAL  
</t>
    </r>
    <r>
      <rPr>
        <b/>
        <sz val="9"/>
        <color rgb="FFC00000"/>
        <rFont val="Calibri"/>
        <family val="2"/>
        <scheme val="minor"/>
      </rPr>
      <t>NO HA GENERADO CARGOS ADICIONALES</t>
    </r>
  </si>
  <si>
    <t xml:space="preserve">25OT2654 </t>
  </si>
  <si>
    <t xml:space="preserve">25OT2224 </t>
  </si>
  <si>
    <t>HANDLING USD 100.00 per shipment</t>
  </si>
  <si>
    <t>THC USD 15 W/M MIN 45.00 per shipment</t>
  </si>
  <si>
    <t>STRIPING FEE USD 10 W/M MIN 25 per shipment</t>
  </si>
  <si>
    <t>collect fee 5.27% per shipment (if applicable)</t>
  </si>
  <si>
    <t>Customs Inspection USD 7.50 w/m (Min USD 50.00 – Max USD 100.00) If apply (per shipment)</t>
  </si>
  <si>
    <t>Drugs Inspection USD 35.00 If apply (per shipment)</t>
  </si>
  <si>
    <t>TOTAL</t>
  </si>
  <si>
    <t>FECHA ESTIMADA DE ARRIBO:</t>
  </si>
  <si>
    <t>20/10/2025 (sujeto a confirmar)</t>
  </si>
  <si>
    <t>BARCO DE ARRIBO:</t>
  </si>
  <si>
    <t>PAGO DE MUELLAJE:</t>
  </si>
  <si>
    <t>Se debe realizar el pago de muellaje, directamente a los señores de UPDP/Acajutla.</t>
  </si>
  <si>
    <t>DOCUMENTOS EN ADJUNTO:</t>
  </si>
  <si>
    <t>INFORMACIÓN PENDIENTE:</t>
  </si>
  <si>
    <t>Al contar con ME, estaremos desconsolidando y proporcionando por este medio la información.</t>
  </si>
  <si>
    <t>Una vez contemos con arribo en Puerto Acajutla, proporcionaremos liberación de mercadería.</t>
  </si>
  <si>
    <t>COMUNICADO UPDP:</t>
  </si>
  <si>
    <t>DTE 3456 (flete marítimo y cargos locales).</t>
  </si>
  <si>
    <t>BL + Manifiesto (firmado y sellado) documentos originales, entregados físicamente.</t>
  </si>
  <si>
    <t>Pendiente proporcionar Manifiesto Electrónico, en vista que la naviera está trabajando en ello.</t>
  </si>
  <si>
    <t>Despacho de contenedores 24/7, octubre 2025</t>
  </si>
  <si>
    <r>
      <rPr>
        <b/>
        <sz val="9"/>
        <color rgb="FF00B050"/>
        <rFont val="Calibri"/>
        <family val="2"/>
        <scheme val="minor"/>
      </rPr>
      <t>HBL CONTRA ENTREGA DE ORIGINAL</t>
    </r>
    <r>
      <rPr>
        <sz val="9"/>
        <rFont val="Calibri"/>
        <family val="2"/>
        <scheme val="minor"/>
      </rPr>
      <t xml:space="preserve">
</t>
    </r>
    <r>
      <rPr>
        <sz val="9"/>
        <color rgb="FFC00000"/>
        <rFont val="Calibri"/>
        <family val="2"/>
        <scheme val="minor"/>
      </rPr>
      <t>PET. EMISION MBL</t>
    </r>
  </si>
  <si>
    <t>HBL TELEX RELEASE OK LIBERAR</t>
  </si>
  <si>
    <t>27/08/2025
25OT2223</t>
  </si>
  <si>
    <t>25OT1863 NBACA250600002
HBL TELEX RELEASE NO LIBERAR NO SE PUEDE LIBERAR POR FALTA DE PAGOS DE CNEE A SHIPPER</t>
  </si>
  <si>
    <r>
      <rPr>
        <b/>
        <sz val="9"/>
        <color rgb="FF00B050"/>
        <rFont val="Calibri"/>
        <family val="2"/>
        <scheme val="minor"/>
      </rPr>
      <t xml:space="preserve">09/10/2025
25OT1951
25OT1943
</t>
    </r>
    <r>
      <rPr>
        <b/>
        <sz val="9"/>
        <color rgb="FFC00000"/>
        <rFont val="Calibri"/>
        <family val="2"/>
        <scheme val="minor"/>
      </rPr>
      <t>25OT2062
PENT</t>
    </r>
  </si>
  <si>
    <r>
      <rPr>
        <b/>
        <u/>
        <sz val="9"/>
        <rFont val="Calibri"/>
        <family val="2"/>
        <scheme val="minor"/>
      </rPr>
      <t>CONSOLIDADO 32</t>
    </r>
    <r>
      <rPr>
        <b/>
        <sz val="9"/>
        <rFont val="Calibri"/>
        <family val="2"/>
        <scheme val="minor"/>
      </rPr>
      <t xml:space="preserve">
</t>
    </r>
    <r>
      <rPr>
        <b/>
        <sz val="9"/>
        <color rgb="FF00B050"/>
        <rFont val="Calibri"/>
        <family val="2"/>
        <scheme val="minor"/>
      </rPr>
      <t xml:space="preserve">25OT1951	 HKH25060666
HBL CONTRA ENTREGA DE ORIGINAL
25OT1943 HKH25060864
HBL CONTRA ENTREGA DE ORIGINAL
</t>
    </r>
    <r>
      <rPr>
        <b/>
        <sz val="9"/>
        <rFont val="Calibri"/>
        <family val="2"/>
        <scheme val="minor"/>
      </rPr>
      <t xml:space="preserve">
25OT2062 USGSALOE2005603
</t>
    </r>
    <r>
      <rPr>
        <b/>
        <sz val="9"/>
        <color rgb="FFC00000"/>
        <rFont val="Calibri"/>
        <family val="2"/>
        <scheme val="minor"/>
      </rPr>
      <t>HBL CONTRA ENTREGA DE ORIGINAL</t>
    </r>
  </si>
  <si>
    <t xml:space="preserve">23/08/2025
25OT2185 </t>
  </si>
  <si>
    <t>09/10/2025
25OT2149
25OT2216
25OT2240</t>
  </si>
  <si>
    <r>
      <rPr>
        <b/>
        <u/>
        <sz val="9"/>
        <rFont val="Calibri"/>
        <family val="2"/>
        <scheme val="minor"/>
      </rPr>
      <t>CONSOLIDADO 36</t>
    </r>
    <r>
      <rPr>
        <b/>
        <sz val="9"/>
        <rFont val="Calibri"/>
        <family val="2"/>
        <scheme val="minor"/>
      </rPr>
      <t xml:space="preserve">
</t>
    </r>
    <r>
      <rPr>
        <b/>
        <sz val="9"/>
        <color rgb="FF00B050"/>
        <rFont val="Calibri"/>
        <family val="2"/>
        <scheme val="minor"/>
      </rPr>
      <t>25OT2149 PORHKG257015
CONTRA ENTREGA DE ORIGINAL
25OT2185 HOEX25070279
TELEX RELEASE OK LIBERAR
25OT2216 HOEX25070356
CONTRA ENTREGA DE ORIGINAL
25OT2240 PORHKG257018
CONTRA ENTREGA DE ORIGINAL</t>
    </r>
  </si>
  <si>
    <t>26/8/2025
25OT2114</t>
  </si>
  <si>
    <t>25OT2065 
PET.</t>
  </si>
  <si>
    <t>27/8/2025
25OT2239</t>
  </si>
  <si>
    <t>09/10/2025
25OT2177</t>
  </si>
  <si>
    <r>
      <rPr>
        <b/>
        <u/>
        <sz val="9"/>
        <rFont val="Calibri"/>
        <family val="2"/>
        <scheme val="minor"/>
      </rPr>
      <t>CONSOLIDADO 34</t>
    </r>
    <r>
      <rPr>
        <b/>
        <sz val="9"/>
        <rFont val="Calibri"/>
        <family val="2"/>
        <scheme val="minor"/>
      </rPr>
      <t xml:space="preserve">
25OT1863 NBACA250600002
</t>
    </r>
    <r>
      <rPr>
        <b/>
        <sz val="9"/>
        <color rgb="FFC00000"/>
        <rFont val="Calibri"/>
        <family val="2"/>
        <scheme val="minor"/>
      </rPr>
      <t xml:space="preserve">HBL TELEX RELEASE NO LIBERAR NO SE PUEDE LIBERAR POR FALTA DE PAGOS DE CNEE A SHIPPER (Gerardo consultará nuevamente al agente si se puede liberar) ?????????????
</t>
    </r>
    <r>
      <rPr>
        <b/>
        <sz val="9"/>
        <rFont val="Calibri"/>
        <family val="2"/>
        <scheme val="minor"/>
      </rPr>
      <t xml:space="preserve">
</t>
    </r>
    <r>
      <rPr>
        <b/>
        <sz val="9"/>
        <color rgb="FF00B050"/>
        <rFont val="Calibri"/>
        <family val="2"/>
        <scheme val="minor"/>
      </rPr>
      <t>25OT2223 NBACA250700002
HBL TELEX RELEASE OK LIBERAR</t>
    </r>
  </si>
  <si>
    <r>
      <rPr>
        <b/>
        <u/>
        <sz val="9"/>
        <rFont val="Calibri"/>
        <family val="2"/>
        <scheme val="minor"/>
      </rPr>
      <t>CONSOLIDADO 35</t>
    </r>
    <r>
      <rPr>
        <b/>
        <sz val="9"/>
        <rFont val="Calibri"/>
        <family val="2"/>
        <scheme val="minor"/>
      </rPr>
      <t xml:space="preserve">
25OT2065 QDHKG2507206
</t>
    </r>
    <r>
      <rPr>
        <b/>
        <sz val="9"/>
        <color rgb="FFC00000"/>
        <rFont val="Calibri"/>
        <family val="2"/>
        <scheme val="minor"/>
      </rPr>
      <t>HBL CONTRA ENTREGA DE ORIGINAL</t>
    </r>
    <r>
      <rPr>
        <b/>
        <sz val="9"/>
        <rFont val="Calibri"/>
        <family val="2"/>
        <scheme val="minor"/>
      </rPr>
      <t xml:space="preserve">
</t>
    </r>
    <r>
      <rPr>
        <b/>
        <sz val="9"/>
        <color rgb="FF00B050"/>
        <rFont val="Calibri"/>
        <family val="2"/>
        <scheme val="minor"/>
      </rPr>
      <t>25OT2114	 HOEX25070184
HBL TELEX RELEASE OK LIBERAR</t>
    </r>
  </si>
  <si>
    <r>
      <rPr>
        <b/>
        <u/>
        <sz val="9"/>
        <color theme="1"/>
        <rFont val="Calibri"/>
        <family val="2"/>
        <scheme val="minor"/>
      </rPr>
      <t xml:space="preserve">CONSOLIDADO 37 </t>
    </r>
    <r>
      <rPr>
        <b/>
        <sz val="9"/>
        <color rgb="FF00B0F0"/>
        <rFont val="Calibri"/>
        <family val="2"/>
        <scheme val="minor"/>
      </rPr>
      <t xml:space="preserve">
SE CAMBIO DOCUMENTOS
</t>
    </r>
    <r>
      <rPr>
        <b/>
        <sz val="9"/>
        <color rgb="FF00B050"/>
        <rFont val="Calibri"/>
        <family val="2"/>
        <scheme val="minor"/>
      </rPr>
      <t xml:space="preserve">25OT2239 HOEX25070369	
HBL TELEX RELEASE OK LIBERAR
</t>
    </r>
    <r>
      <rPr>
        <b/>
        <sz val="9"/>
        <color rgb="FF00B0F0"/>
        <rFont val="Calibri"/>
        <family val="2"/>
        <scheme val="minor"/>
      </rPr>
      <t xml:space="preserve">
</t>
    </r>
    <r>
      <rPr>
        <b/>
        <sz val="9"/>
        <color rgb="FF00B050"/>
        <rFont val="Calibri"/>
        <family val="2"/>
        <scheme val="minor"/>
      </rPr>
      <t>25OT2177 HKH25070709	
HBL CONTRA ENTREGA DE ORIGINAL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</si>
</sst>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dd/mm/yyyy;@"/>
    <numFmt numFmtId="165" formatCode="_-&quot;XDR&quot;* #,##0.00_-;\-&quot;XDR&quot;* #,##0.00_-;_-&quot;XDR&quot;* &quot;-&quot;??_-;_-@_-"/>
    <numFmt numFmtId="166" formatCode="dd/mm/yy;@"/>
  </numFmts>
  <fonts count="31" x14ac:knownFonts="1">
    <font>
      <sz val="11"/>
      <color theme="1"/>
      <name val="Calibri"/>
      <family val="2"/>
      <scheme val="minor"/>
    </font>
    <font>
      <sz val="11"/>
      <color theme="1"/>
      <name val="Calibri"/>
      <family val="2"/>
      <scheme val="minor"/>
    </font>
    <font>
      <sz val="11"/>
      <color theme="0"/>
      <name val="Calibri"/>
      <family val="2"/>
      <scheme val="minor"/>
    </font>
    <font>
      <b/>
      <sz val="9"/>
      <name val="Calibri"/>
      <family val="2"/>
      <scheme val="minor"/>
    </font>
    <font>
      <sz val="9"/>
      <name val="Calibri"/>
      <family val="2"/>
      <scheme val="minor"/>
    </font>
    <font>
      <sz val="9"/>
      <color theme="1"/>
      <name val="Calibri"/>
      <family val="2"/>
      <scheme val="minor"/>
    </font>
    <font>
      <b/>
      <sz val="9"/>
      <color rgb="FFFF0000"/>
      <name val="Calibri"/>
      <family val="2"/>
      <scheme val="minor"/>
    </font>
    <font>
      <sz val="8"/>
      <name val="Calibri"/>
      <family val="2"/>
      <scheme val="minor"/>
    </font>
    <font>
      <b/>
      <sz val="10"/>
      <name val="Calibri"/>
      <family val="2"/>
      <scheme val="minor"/>
    </font>
    <font>
      <b/>
      <sz val="8"/>
      <color theme="0"/>
      <name val="Calibri"/>
      <family val="2"/>
      <scheme val="minor"/>
    </font>
    <font>
      <b/>
      <sz val="9"/>
      <color theme="0"/>
      <name val="Calibri"/>
      <family val="2"/>
      <scheme val="minor"/>
    </font>
    <font>
      <b/>
      <sz val="8"/>
      <color theme="1"/>
      <name val="Calibri"/>
      <family val="2"/>
      <scheme val="minor"/>
    </font>
    <font>
      <sz val="7"/>
      <color theme="1"/>
      <name val="Calibri"/>
      <family val="2"/>
      <scheme val="minor"/>
    </font>
    <font>
      <b/>
      <sz val="20"/>
      <name val="Calibri"/>
      <family val="2"/>
      <scheme val="minor"/>
    </font>
    <font>
      <sz val="7"/>
      <color theme="0"/>
      <name val="Calibri"/>
      <family val="2"/>
      <scheme val="minor"/>
    </font>
    <font>
      <sz val="9"/>
      <name val="Arial"/>
      <family val="2"/>
    </font>
    <font>
      <sz val="9"/>
      <color rgb="FFFF0000"/>
      <name val="Calibri"/>
      <family val="2"/>
      <scheme val="minor"/>
    </font>
    <font>
      <b/>
      <sz val="11"/>
      <color theme="1"/>
      <name val="Calibri"/>
      <family val="2"/>
      <scheme val="minor"/>
    </font>
    <font>
      <b/>
      <sz val="9"/>
      <color rgb="FFC00000"/>
      <name val="Calibri"/>
      <family val="2"/>
      <scheme val="minor"/>
    </font>
    <font>
      <b/>
      <sz val="9"/>
      <color theme="1"/>
      <name val="Calibri"/>
      <family val="2"/>
      <scheme val="minor"/>
    </font>
    <font>
      <b/>
      <u/>
      <sz val="9"/>
      <name val="Calibri"/>
      <family val="2"/>
      <scheme val="minor"/>
    </font>
    <font>
      <sz val="9"/>
      <color rgb="FF000000"/>
      <name val="Calibri"/>
      <family val="2"/>
      <scheme val="minor"/>
    </font>
    <font>
      <b/>
      <sz val="9"/>
      <color rgb="FF00B050"/>
      <name val="Calibri"/>
      <family val="2"/>
      <scheme val="minor"/>
    </font>
    <font>
      <b/>
      <u/>
      <sz val="9"/>
      <color rgb="FF00B050"/>
      <name val="Calibri"/>
      <family val="2"/>
      <scheme val="minor"/>
    </font>
    <font>
      <b/>
      <u/>
      <sz val="9"/>
      <color theme="1"/>
      <name val="Calibri"/>
      <family val="2"/>
      <scheme val="minor"/>
    </font>
    <font>
      <sz val="9"/>
      <color rgb="FFC00000"/>
      <name val="Calibri"/>
      <family val="2"/>
      <scheme val="minor"/>
    </font>
    <font>
      <sz val="12"/>
      <color rgb="FF212121"/>
      <name val="Aptos"/>
      <family val="2"/>
    </font>
    <font>
      <b/>
      <sz val="9"/>
      <color rgb="FF00B0F0"/>
      <name val="Calibri"/>
      <family val="2"/>
      <scheme val="minor"/>
    </font>
    <font>
      <b/>
      <sz val="11"/>
      <color rgb="FFFFFFFF"/>
      <name val="Aptos"/>
      <family val="2"/>
    </font>
    <font>
      <sz val="11"/>
      <color rgb="FF000000"/>
      <name val="Aptos"/>
      <family val="2"/>
    </font>
    <font>
      <sz val="9"/>
      <color rgb="FF00B050"/>
      <name val="Calibri"/>
      <family val="2"/>
      <scheme val="minor"/>
    </font>
  </fonts>
  <fills count="18">
    <fill>
      <patternFill patternType="none"/>
    </fill>
    <fill>
      <patternFill patternType="gray125"/>
    </fill>
    <fill>
      <patternFill patternType="solid">
        <fgColor theme="9"/>
      </patternFill>
    </fill>
    <fill>
      <patternFill patternType="solid">
        <fgColor rgb="FFFFFF00"/>
        <bgColor indexed="64"/>
      </patternFill>
    </fill>
    <fill>
      <patternFill patternType="solid">
        <fgColor rgb="FF002060"/>
        <bgColor indexed="64"/>
      </patternFill>
    </fill>
    <fill>
      <patternFill patternType="solid">
        <fgColor theme="9" tint="0.39997558519241921"/>
        <bgColor indexed="64"/>
      </patternFill>
    </fill>
    <fill>
      <patternFill patternType="solid">
        <fgColor rgb="FFFFCCFF"/>
        <bgColor indexed="64"/>
      </patternFill>
    </fill>
    <fill>
      <patternFill patternType="solid">
        <fgColor theme="8" tint="0.39997558519241921"/>
        <bgColor indexed="64"/>
      </patternFill>
    </fill>
    <fill>
      <patternFill patternType="solid">
        <fgColor rgb="FFFFFFCC"/>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B8FEEC"/>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0B769F"/>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bottom/>
      <diagonal/>
    </border>
    <border>
      <left style="thin">
        <color indexed="64"/>
      </left>
      <right style="thin">
        <color indexed="64"/>
      </right>
      <top style="thin">
        <color indexed="64"/>
      </top>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theme="0"/>
      </right>
      <top/>
      <bottom/>
      <diagonal/>
    </border>
    <border>
      <left style="thin">
        <color theme="0"/>
      </left>
      <right/>
      <top style="thin">
        <color indexed="64"/>
      </top>
      <bottom/>
      <diagonal/>
    </border>
    <border>
      <left style="medium">
        <color indexed="64"/>
      </left>
      <right style="thin">
        <color theme="0"/>
      </right>
      <top/>
      <bottom/>
      <diagonal/>
    </border>
    <border>
      <left style="thin">
        <color theme="0"/>
      </left>
      <right/>
      <top/>
      <bottom/>
      <diagonal/>
    </border>
    <border>
      <left style="thin">
        <color theme="0"/>
      </left>
      <right style="medium">
        <color indexed="64"/>
      </right>
      <top/>
      <bottom/>
      <diagonal/>
    </border>
    <border>
      <left/>
      <right style="thin">
        <color theme="0"/>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theme="4"/>
      </bottom>
      <diagonal/>
    </border>
    <border>
      <left style="thin">
        <color indexed="64"/>
      </left>
      <right/>
      <top style="thin">
        <color indexed="64"/>
      </top>
      <bottom style="thin">
        <color theme="4"/>
      </bottom>
      <diagonal/>
    </border>
    <border>
      <left/>
      <right style="thin">
        <color indexed="64"/>
      </right>
      <top style="thin">
        <color indexed="64"/>
      </top>
      <bottom style="thin">
        <color theme="4"/>
      </bottom>
      <diagonal/>
    </border>
    <border>
      <left style="medium">
        <color rgb="FFDDDDDD"/>
      </left>
      <right style="medium">
        <color rgb="FFDDDDDD"/>
      </right>
      <top style="medium">
        <color rgb="FFDDDDDD"/>
      </top>
      <bottom style="medium">
        <color rgb="FFDDDDDD"/>
      </bottom>
      <diagonal/>
    </border>
  </borders>
  <cellStyleXfs count="6">
    <xf numFmtId="0" fontId="0" fillId="0" borderId="0"/>
    <xf numFmtId="0" fontId="2" fillId="2" borderId="0" applyNumberFormat="0" applyBorder="0" applyAlignment="0" applyProtection="0"/>
    <xf numFmtId="0" fontId="2" fillId="3" borderId="2">
      <alignment horizontal="center" vertical="center" wrapText="1"/>
    </xf>
    <xf numFmtId="44" fontId="1" fillId="0" borderId="0" applyFont="0" applyFill="0" applyBorder="0" applyAlignment="0" applyProtection="0"/>
    <xf numFmtId="165" fontId="1" fillId="0" borderId="0" applyFont="0" applyFill="0" applyBorder="0" applyAlignment="0" applyProtection="0"/>
    <xf numFmtId="44" fontId="1" fillId="0" borderId="0" applyFont="0" applyFill="0" applyBorder="0" applyAlignment="0" applyProtection="0"/>
  </cellStyleXfs>
  <cellXfs count="200">
    <xf numFmtId="0" fontId="0" fillId="0" borderId="0" xfId="0"/>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2" fontId="4" fillId="0" borderId="1" xfId="0" applyNumberFormat="1" applyFont="1" applyBorder="1" applyAlignment="1">
      <alignment horizontal="center" vertical="center" wrapText="1"/>
    </xf>
    <xf numFmtId="2" fontId="4" fillId="0" borderId="3" xfId="0" applyNumberFormat="1" applyFont="1" applyBorder="1" applyAlignment="1">
      <alignment horizontal="center" vertical="center" wrapText="1"/>
    </xf>
    <xf numFmtId="164" fontId="6" fillId="0" borderId="1" xfId="0" applyNumberFormat="1" applyFont="1" applyBorder="1" applyAlignment="1">
      <alignment horizontal="center" vertical="center"/>
    </xf>
    <xf numFmtId="0" fontId="4" fillId="0" borderId="1" xfId="0" applyFont="1" applyBorder="1" applyAlignment="1">
      <alignment horizontal="left" vertical="center" wrapText="1"/>
    </xf>
    <xf numFmtId="1" fontId="4"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10" fillId="4" borderId="5" xfId="1" applyFont="1" applyFill="1" applyBorder="1" applyAlignment="1">
      <alignment horizontal="center" vertical="center" wrapText="1"/>
    </xf>
    <xf numFmtId="0" fontId="9" fillId="4" borderId="5" xfId="1" applyFont="1" applyFill="1" applyBorder="1" applyAlignment="1">
      <alignment horizontal="center" vertical="center" wrapText="1"/>
    </xf>
    <xf numFmtId="0" fontId="8" fillId="3" borderId="3" xfId="2" applyFont="1" applyBorder="1">
      <alignment horizontal="center" vertical="center" wrapText="1"/>
    </xf>
    <xf numFmtId="0" fontId="9" fillId="4" borderId="7" xfId="1" applyFont="1" applyFill="1" applyBorder="1" applyAlignment="1">
      <alignment horizontal="center" vertical="center" wrapText="1"/>
    </xf>
    <xf numFmtId="0" fontId="11" fillId="6" borderId="8" xfId="1" applyFont="1" applyFill="1" applyBorder="1" applyAlignment="1">
      <alignment horizontal="center" vertical="center" wrapText="1"/>
    </xf>
    <xf numFmtId="0" fontId="11" fillId="6" borderId="6" xfId="1" applyFont="1" applyFill="1" applyBorder="1" applyAlignment="1">
      <alignment horizontal="center" vertical="center" wrapText="1"/>
    </xf>
    <xf numFmtId="0" fontId="11" fillId="5" borderId="6" xfId="1" applyFont="1" applyFill="1" applyBorder="1" applyAlignment="1">
      <alignment horizontal="center" vertical="center" wrapText="1"/>
    </xf>
    <xf numFmtId="0" fontId="11" fillId="5" borderId="9" xfId="1" applyFont="1" applyFill="1" applyBorder="1" applyAlignment="1">
      <alignment horizontal="center" vertical="center" wrapText="1"/>
    </xf>
    <xf numFmtId="0" fontId="11" fillId="5" borderId="10" xfId="1" applyFont="1" applyFill="1" applyBorder="1" applyAlignment="1">
      <alignment horizontal="center" vertical="center" wrapText="1"/>
    </xf>
    <xf numFmtId="0" fontId="9" fillId="4" borderId="11" xfId="1" applyFont="1" applyFill="1" applyBorder="1" applyAlignment="1">
      <alignment horizontal="center" vertical="center" wrapText="1"/>
    </xf>
    <xf numFmtId="1" fontId="9" fillId="4" borderId="5" xfId="1" applyNumberFormat="1" applyFont="1" applyFill="1" applyBorder="1" applyAlignment="1">
      <alignment horizontal="center" vertical="center" wrapText="1"/>
    </xf>
    <xf numFmtId="0" fontId="12"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left" vertical="center" wrapText="1"/>
    </xf>
    <xf numFmtId="0" fontId="14" fillId="2" borderId="6" xfId="1" applyFont="1" applyBorder="1" applyAlignment="1">
      <alignment horizontal="center" vertical="center" wrapText="1"/>
    </xf>
    <xf numFmtId="1" fontId="7" fillId="0" borderId="16" xfId="0" applyNumberFormat="1" applyFont="1" applyBorder="1" applyAlignment="1">
      <alignment horizontal="center" vertical="center" wrapText="1"/>
    </xf>
    <xf numFmtId="164" fontId="7" fillId="0" borderId="1" xfId="0" applyNumberFormat="1" applyFont="1" applyBorder="1" applyAlignment="1">
      <alignment horizontal="left" vertical="center" wrapText="1"/>
    </xf>
    <xf numFmtId="0" fontId="8" fillId="0" borderId="1" xfId="0" applyFont="1" applyBorder="1" applyAlignment="1">
      <alignment horizontal="center" vertical="center" wrapText="1"/>
    </xf>
    <xf numFmtId="1" fontId="7" fillId="0" borderId="1" xfId="0" applyNumberFormat="1" applyFont="1" applyBorder="1" applyAlignment="1">
      <alignment horizontal="center" vertical="center" wrapText="1"/>
    </xf>
    <xf numFmtId="164" fontId="7" fillId="0" borderId="17" xfId="0" applyNumberFormat="1" applyFont="1" applyBorder="1" applyAlignment="1">
      <alignment horizontal="left" vertical="center" wrapText="1"/>
    </xf>
    <xf numFmtId="0" fontId="4" fillId="0" borderId="0" xfId="0" applyFont="1" applyAlignment="1">
      <alignment horizontal="center" vertical="center" wrapText="1"/>
    </xf>
    <xf numFmtId="0" fontId="3" fillId="0" borderId="18" xfId="0" applyFont="1" applyBorder="1" applyAlignment="1">
      <alignment horizontal="center" vertical="center"/>
    </xf>
    <xf numFmtId="164" fontId="4" fillId="0" borderId="19" xfId="0" applyNumberFormat="1" applyFont="1" applyBorder="1" applyAlignment="1">
      <alignment horizontal="center" vertical="center" wrapText="1"/>
    </xf>
    <xf numFmtId="164" fontId="4" fillId="0" borderId="16" xfId="0" applyNumberFormat="1" applyFont="1" applyBorder="1" applyAlignment="1">
      <alignment horizontal="center" vertical="center" wrapText="1"/>
    </xf>
    <xf numFmtId="164" fontId="4" fillId="0" borderId="17"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3" fillId="0" borderId="18"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pivotButton="1"/>
    <xf numFmtId="0" fontId="0" fillId="0" borderId="0" xfId="0" applyAlignment="1">
      <alignment horizontal="left"/>
    </xf>
    <xf numFmtId="164" fontId="15" fillId="0" borderId="3" xfId="0" applyNumberFormat="1" applyFont="1" applyBorder="1" applyAlignment="1">
      <alignment horizontal="center" vertical="center" wrapText="1"/>
    </xf>
    <xf numFmtId="164" fontId="5" fillId="11" borderId="1" xfId="0" applyNumberFormat="1" applyFont="1" applyFill="1" applyBorder="1" applyAlignment="1">
      <alignment horizontal="center" vertical="center" wrapText="1"/>
    </xf>
    <xf numFmtId="164" fontId="5" fillId="9" borderId="1" xfId="0" quotePrefix="1" applyNumberFormat="1" applyFont="1" applyFill="1" applyBorder="1" applyAlignment="1">
      <alignment horizontal="center" vertical="center" wrapText="1"/>
    </xf>
    <xf numFmtId="164" fontId="4" fillId="9" borderId="1" xfId="0" applyNumberFormat="1" applyFont="1" applyFill="1" applyBorder="1" applyAlignment="1">
      <alignment horizontal="center" vertical="center" wrapText="1"/>
    </xf>
    <xf numFmtId="164" fontId="5" fillId="9"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166" fontId="15" fillId="0" borderId="1" xfId="0" applyNumberFormat="1" applyFont="1" applyBorder="1" applyAlignment="1">
      <alignment horizontal="center" vertical="center" wrapText="1"/>
    </xf>
    <xf numFmtId="164" fontId="15"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xf>
    <xf numFmtId="164" fontId="15" fillId="0" borderId="19"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164" fontId="3" fillId="0" borderId="3" xfId="0" applyNumberFormat="1" applyFont="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14" fontId="5" fillId="0" borderId="3" xfId="0" applyNumberFormat="1" applyFont="1" applyBorder="1" applyAlignment="1">
      <alignment horizontal="center" vertical="center"/>
    </xf>
    <xf numFmtId="164" fontId="15" fillId="10" borderId="1" xfId="0" applyNumberFormat="1" applyFont="1" applyFill="1" applyBorder="1" applyAlignment="1">
      <alignment horizontal="center" vertical="center" wrapText="1"/>
    </xf>
    <xf numFmtId="164" fontId="4" fillId="0" borderId="21" xfId="0" applyNumberFormat="1" applyFont="1" applyBorder="1" applyAlignment="1">
      <alignment horizontal="center" vertical="center" wrapText="1"/>
    </xf>
    <xf numFmtId="0" fontId="3" fillId="0" borderId="20" xfId="0" applyFont="1" applyBorder="1" applyAlignment="1">
      <alignment horizontal="center" vertical="center"/>
    </xf>
    <xf numFmtId="164" fontId="3" fillId="0" borderId="21" xfId="0" applyNumberFormat="1" applyFont="1" applyBorder="1" applyAlignment="1">
      <alignment horizontal="center" vertical="center" wrapText="1"/>
    </xf>
    <xf numFmtId="164" fontId="5" fillId="6"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164" fontId="15" fillId="10" borderId="3" xfId="0" applyNumberFormat="1" applyFont="1" applyFill="1" applyBorder="1" applyAlignment="1">
      <alignment horizontal="center" vertical="center" wrapText="1"/>
    </xf>
    <xf numFmtId="2" fontId="4" fillId="12" borderId="1" xfId="0" applyNumberFormat="1" applyFont="1" applyFill="1" applyBorder="1" applyAlignment="1">
      <alignment horizontal="center" vertical="center" wrapText="1"/>
    </xf>
    <xf numFmtId="164" fontId="7" fillId="0" borderId="1" xfId="0" applyNumberFormat="1" applyFont="1" applyBorder="1" applyAlignment="1">
      <alignment horizontal="center" vertical="center" wrapText="1"/>
    </xf>
    <xf numFmtId="0" fontId="3" fillId="0" borderId="3" xfId="0" applyFont="1" applyBorder="1" applyAlignment="1">
      <alignment horizontal="center" vertical="center"/>
    </xf>
    <xf numFmtId="164" fontId="4" fillId="0" borderId="20" xfId="0" applyNumberFormat="1" applyFont="1" applyBorder="1" applyAlignment="1">
      <alignment horizontal="center" vertical="center" wrapText="1"/>
    </xf>
    <xf numFmtId="164" fontId="5" fillId="0" borderId="20" xfId="0" applyNumberFormat="1" applyFont="1" applyBorder="1" applyAlignment="1">
      <alignment horizontal="center" vertical="center" wrapText="1"/>
    </xf>
    <xf numFmtId="1" fontId="4" fillId="0" borderId="3" xfId="0" applyNumberFormat="1" applyFont="1" applyBorder="1" applyAlignment="1">
      <alignment horizontal="center" vertical="center" wrapText="1"/>
    </xf>
    <xf numFmtId="164" fontId="5" fillId="0" borderId="1" xfId="0" applyNumberFormat="1" applyFont="1" applyBorder="1" applyAlignment="1">
      <alignment horizontal="left" vertical="center" wrapText="1"/>
    </xf>
    <xf numFmtId="0" fontId="3" fillId="14" borderId="18" xfId="0" applyFont="1" applyFill="1" applyBorder="1" applyAlignment="1">
      <alignment horizontal="center" vertical="center"/>
    </xf>
    <xf numFmtId="164" fontId="3" fillId="14" borderId="1" xfId="0" applyNumberFormat="1" applyFont="1" applyFill="1" applyBorder="1" applyAlignment="1">
      <alignment horizontal="center" vertical="center"/>
    </xf>
    <xf numFmtId="0" fontId="9" fillId="4" borderId="5" xfId="1" applyFont="1" applyFill="1" applyBorder="1" applyAlignment="1">
      <alignment horizontal="left" vertical="center" wrapText="1"/>
    </xf>
    <xf numFmtId="164" fontId="4" fillId="14" borderId="19" xfId="0" applyNumberFormat="1" applyFont="1" applyFill="1" applyBorder="1" applyAlignment="1">
      <alignment horizontal="center" vertical="center" wrapText="1"/>
    </xf>
    <xf numFmtId="164" fontId="16" fillId="0" borderId="1" xfId="0" applyNumberFormat="1" applyFont="1" applyBorder="1" applyAlignment="1">
      <alignment horizontal="center" vertical="center" wrapText="1"/>
    </xf>
    <xf numFmtId="0" fontId="6" fillId="14" borderId="18" xfId="0" applyFont="1" applyFill="1" applyBorder="1" applyAlignment="1">
      <alignment horizontal="center" vertical="center"/>
    </xf>
    <xf numFmtId="164" fontId="3" fillId="0" borderId="1" xfId="0" applyNumberFormat="1" applyFont="1" applyBorder="1" applyAlignment="1">
      <alignment horizontal="center" vertical="center"/>
    </xf>
    <xf numFmtId="0" fontId="3" fillId="14" borderId="18" xfId="0" applyFont="1" applyFill="1" applyBorder="1" applyAlignment="1">
      <alignment horizontal="center" vertical="center" wrapText="1"/>
    </xf>
    <xf numFmtId="14" fontId="4"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center" vertical="center" wrapText="1"/>
    </xf>
    <xf numFmtId="0" fontId="3" fillId="0" borderId="20" xfId="0" applyFont="1" applyBorder="1" applyAlignment="1">
      <alignment horizontal="center" vertical="center" wrapText="1"/>
    </xf>
    <xf numFmtId="0" fontId="18"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9" fillId="4" borderId="1" xfId="1" applyFont="1" applyFill="1" applyBorder="1" applyAlignment="1">
      <alignment horizontal="center" vertical="center" wrapText="1"/>
    </xf>
    <xf numFmtId="0" fontId="9" fillId="4" borderId="1" xfId="1" applyFont="1" applyFill="1" applyBorder="1" applyAlignment="1">
      <alignment horizontal="left" vertical="center" wrapText="1"/>
    </xf>
    <xf numFmtId="0" fontId="8" fillId="3" borderId="1" xfId="2" applyFont="1" applyBorder="1">
      <alignment horizontal="center" vertical="center" wrapText="1"/>
    </xf>
    <xf numFmtId="0" fontId="10" fillId="4" borderId="1" xfId="1" applyFont="1" applyFill="1" applyBorder="1" applyAlignment="1">
      <alignment horizontal="center" vertical="center" wrapText="1"/>
    </xf>
    <xf numFmtId="0" fontId="3" fillId="0" borderId="23" xfId="0" applyFont="1" applyBorder="1" applyAlignment="1">
      <alignment horizontal="center" vertical="center"/>
    </xf>
    <xf numFmtId="0" fontId="4" fillId="0" borderId="22" xfId="0" applyFont="1" applyBorder="1" applyAlignment="1">
      <alignment horizontal="center" vertical="center" wrapText="1"/>
    </xf>
    <xf numFmtId="164" fontId="4" fillId="0" borderId="24" xfId="0" applyNumberFormat="1" applyFont="1" applyBorder="1" applyAlignment="1">
      <alignment horizontal="center" vertical="center" wrapText="1"/>
    </xf>
    <xf numFmtId="164" fontId="15" fillId="0" borderId="22" xfId="0" applyNumberFormat="1" applyFont="1" applyBorder="1" applyAlignment="1">
      <alignment horizontal="center" vertical="center" wrapText="1"/>
    </xf>
    <xf numFmtId="164" fontId="4" fillId="0" borderId="22" xfId="0" applyNumberFormat="1" applyFont="1" applyBorder="1" applyAlignment="1">
      <alignment horizontal="center" vertical="center" wrapText="1"/>
    </xf>
    <xf numFmtId="0" fontId="4" fillId="0" borderId="22" xfId="0" applyFont="1" applyBorder="1" applyAlignment="1">
      <alignment horizontal="center" vertical="center"/>
    </xf>
    <xf numFmtId="0" fontId="18" fillId="14" borderId="18" xfId="0" applyFont="1" applyFill="1" applyBorder="1" applyAlignment="1">
      <alignment horizontal="center" vertical="center"/>
    </xf>
    <xf numFmtId="164" fontId="5" fillId="15" borderId="1" xfId="0" applyNumberFormat="1" applyFont="1" applyFill="1" applyBorder="1" applyAlignment="1">
      <alignment horizontal="center" vertical="center" wrapText="1"/>
    </xf>
    <xf numFmtId="164" fontId="4" fillId="15" borderId="1" xfId="0" applyNumberFormat="1" applyFont="1" applyFill="1" applyBorder="1" applyAlignment="1">
      <alignment horizontal="center" vertical="center" wrapText="1"/>
    </xf>
    <xf numFmtId="164" fontId="18" fillId="0" borderId="1" xfId="0" applyNumberFormat="1" applyFont="1" applyBorder="1" applyAlignment="1">
      <alignment horizontal="center" vertical="center" wrapText="1"/>
    </xf>
    <xf numFmtId="164" fontId="4" fillId="6" borderId="1" xfId="0" applyNumberFormat="1" applyFont="1" applyFill="1" applyBorder="1" applyAlignment="1">
      <alignment horizontal="center" vertical="center" wrapText="1"/>
    </xf>
    <xf numFmtId="164" fontId="5" fillId="15" borderId="1" xfId="0" quotePrefix="1" applyNumberFormat="1" applyFont="1" applyFill="1" applyBorder="1" applyAlignment="1">
      <alignment horizontal="center" vertical="center" wrapText="1"/>
    </xf>
    <xf numFmtId="1" fontId="4" fillId="0" borderId="16" xfId="0" applyNumberFormat="1" applyFont="1" applyBorder="1" applyAlignment="1">
      <alignment horizontal="center" vertical="center" wrapText="1"/>
    </xf>
    <xf numFmtId="2" fontId="5" fillId="0" borderId="0" xfId="0" applyNumberFormat="1" applyFont="1"/>
    <xf numFmtId="0" fontId="5" fillId="0" borderId="0" xfId="0" applyFont="1"/>
    <xf numFmtId="2" fontId="4" fillId="0" borderId="0" xfId="0" applyNumberFormat="1" applyFont="1"/>
    <xf numFmtId="0" fontId="4" fillId="0" borderId="0" xfId="0" applyFont="1"/>
    <xf numFmtId="164" fontId="4" fillId="0" borderId="1" xfId="0" applyNumberFormat="1" applyFont="1" applyBorder="1" applyAlignment="1">
      <alignment horizontal="left" vertical="center" wrapText="1"/>
    </xf>
    <xf numFmtId="0" fontId="5" fillId="0" borderId="0" xfId="0" applyFont="1" applyAlignment="1">
      <alignment horizontal="left" wrapText="1"/>
    </xf>
    <xf numFmtId="0" fontId="5" fillId="0" borderId="0" xfId="0" applyFont="1" applyAlignment="1">
      <alignment wrapText="1"/>
    </xf>
    <xf numFmtId="2" fontId="0" fillId="0" borderId="0" xfId="0" applyNumberFormat="1"/>
    <xf numFmtId="166" fontId="4" fillId="0" borderId="1" xfId="0" applyNumberFormat="1" applyFont="1" applyBorder="1" applyAlignment="1">
      <alignment horizontal="center" vertical="center" wrapText="1"/>
    </xf>
    <xf numFmtId="0" fontId="18" fillId="0" borderId="18" xfId="0" applyFont="1" applyBorder="1" applyAlignment="1">
      <alignment horizontal="center" vertical="center"/>
    </xf>
    <xf numFmtId="0" fontId="22" fillId="14" borderId="18" xfId="0" applyFont="1" applyFill="1" applyBorder="1" applyAlignment="1">
      <alignment horizontal="center" vertical="center"/>
    </xf>
    <xf numFmtId="0" fontId="22" fillId="0" borderId="1" xfId="0" applyFont="1" applyBorder="1" applyAlignment="1">
      <alignment horizontal="center" vertical="center" wrapText="1"/>
    </xf>
    <xf numFmtId="164" fontId="22" fillId="0" borderId="19" xfId="0" applyNumberFormat="1" applyFont="1" applyBorder="1" applyAlignment="1">
      <alignment horizontal="center" vertical="center" wrapText="1"/>
    </xf>
    <xf numFmtId="0" fontId="22" fillId="14" borderId="18" xfId="0" applyFont="1" applyFill="1" applyBorder="1" applyAlignment="1">
      <alignment horizontal="center" vertical="center" wrapText="1"/>
    </xf>
    <xf numFmtId="1" fontId="5" fillId="0" borderId="1" xfId="0" applyNumberFormat="1" applyFont="1" applyBorder="1" applyAlignment="1">
      <alignment horizontal="center" vertical="center"/>
    </xf>
    <xf numFmtId="0" fontId="3" fillId="0" borderId="3" xfId="0" applyFont="1" applyBorder="1" applyAlignment="1">
      <alignment vertical="center" wrapText="1"/>
    </xf>
    <xf numFmtId="164" fontId="22" fillId="0" borderId="21" xfId="0" applyNumberFormat="1" applyFont="1" applyBorder="1" applyAlignment="1">
      <alignment horizontal="center" vertical="center" wrapText="1"/>
    </xf>
    <xf numFmtId="164" fontId="22" fillId="0" borderId="1" xfId="0" applyNumberFormat="1" applyFont="1" applyBorder="1" applyAlignment="1">
      <alignment horizontal="center" vertical="center" wrapText="1"/>
    </xf>
    <xf numFmtId="0" fontId="22" fillId="0" borderId="1" xfId="0" applyFont="1" applyBorder="1" applyAlignment="1">
      <alignment vertical="center" wrapText="1"/>
    </xf>
    <xf numFmtId="0" fontId="22" fillId="0" borderId="3" xfId="0" applyFont="1" applyBorder="1" applyAlignment="1">
      <alignment vertical="center" wrapText="1"/>
    </xf>
    <xf numFmtId="166" fontId="4" fillId="0" borderId="1" xfId="0" applyNumberFormat="1" applyFont="1" applyBorder="1" applyAlignment="1">
      <alignment horizontal="center" vertical="center"/>
    </xf>
    <xf numFmtId="164" fontId="6" fillId="0" borderId="3" xfId="0" applyNumberFormat="1" applyFont="1" applyBorder="1" applyAlignment="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164" fontId="5" fillId="0" borderId="1" xfId="0" quotePrefix="1" applyNumberFormat="1" applyFont="1" applyBorder="1" applyAlignment="1">
      <alignment horizontal="center" vertical="center" wrapText="1"/>
    </xf>
    <xf numFmtId="0" fontId="5" fillId="0" borderId="3" xfId="0" applyFont="1" applyBorder="1" applyAlignment="1">
      <alignment horizontal="left" vertical="center" wrapText="1"/>
    </xf>
    <xf numFmtId="164" fontId="3" fillId="0" borderId="3" xfId="0" applyNumberFormat="1" applyFont="1" applyBorder="1" applyAlignment="1">
      <alignment horizontal="center" vertical="center"/>
    </xf>
    <xf numFmtId="0" fontId="22" fillId="14" borderId="20" xfId="0" applyFont="1" applyFill="1" applyBorder="1" applyAlignment="1">
      <alignment horizontal="center" vertical="center" wrapText="1"/>
    </xf>
    <xf numFmtId="0" fontId="10" fillId="16" borderId="1" xfId="1" applyFont="1" applyFill="1" applyBorder="1" applyAlignment="1">
      <alignment horizontal="center" vertical="center" wrapText="1"/>
    </xf>
    <xf numFmtId="0" fontId="10" fillId="16" borderId="1" xfId="2" applyFont="1" applyFill="1" applyBorder="1">
      <alignment horizontal="center" vertical="center" wrapText="1"/>
    </xf>
    <xf numFmtId="0" fontId="5" fillId="0" borderId="1" xfId="0" applyFont="1" applyBorder="1" applyAlignment="1">
      <alignment vertical="center" wrapText="1"/>
    </xf>
    <xf numFmtId="0" fontId="0" fillId="0" borderId="0" xfId="0" applyAlignment="1">
      <alignment horizontal="center"/>
    </xf>
    <xf numFmtId="0" fontId="19" fillId="0" borderId="1" xfId="0" applyFont="1" applyBorder="1" applyAlignment="1">
      <alignment horizontal="center" vertical="center" wrapText="1"/>
    </xf>
    <xf numFmtId="0" fontId="17" fillId="0" borderId="0" xfId="0" applyFont="1" applyAlignment="1">
      <alignment horizontal="center"/>
    </xf>
    <xf numFmtId="0" fontId="22" fillId="0" borderId="18" xfId="0" applyFont="1" applyBorder="1" applyAlignment="1">
      <alignment horizontal="center" vertical="center"/>
    </xf>
    <xf numFmtId="0" fontId="22" fillId="14" borderId="20" xfId="0" applyFont="1" applyFill="1" applyBorder="1" applyAlignment="1">
      <alignment horizontal="center" vertical="center"/>
    </xf>
    <xf numFmtId="164" fontId="22" fillId="0" borderId="3" xfId="0" applyNumberFormat="1" applyFont="1" applyBorder="1" applyAlignment="1">
      <alignment horizontal="center" vertical="center" wrapText="1"/>
    </xf>
    <xf numFmtId="166" fontId="4" fillId="0" borderId="3" xfId="0" applyNumberFormat="1" applyFont="1" applyBorder="1" applyAlignment="1">
      <alignment horizontal="center" vertical="center" wrapText="1"/>
    </xf>
    <xf numFmtId="0" fontId="4" fillId="13" borderId="1" xfId="0" applyFont="1" applyFill="1" applyBorder="1" applyAlignment="1">
      <alignment horizontal="center" vertical="center" wrapText="1"/>
    </xf>
    <xf numFmtId="0" fontId="9" fillId="4" borderId="4" xfId="1" applyFont="1" applyFill="1" applyBorder="1" applyAlignment="1">
      <alignment horizontal="center" vertical="center" wrapText="1"/>
    </xf>
    <xf numFmtId="0" fontId="18" fillId="0" borderId="1" xfId="0" applyFont="1" applyBorder="1" applyAlignment="1">
      <alignment horizontal="center" vertical="center"/>
    </xf>
    <xf numFmtId="164" fontId="18" fillId="0" borderId="3" xfId="0" applyNumberFormat="1" applyFont="1" applyBorder="1" applyAlignment="1">
      <alignment horizontal="center" vertical="center" wrapText="1"/>
    </xf>
    <xf numFmtId="0" fontId="21" fillId="0" borderId="0" xfId="0" applyFont="1" applyAlignment="1">
      <alignment horizontal="center" vertical="center"/>
    </xf>
    <xf numFmtId="2" fontId="4" fillId="0" borderId="0" xfId="0" applyNumberFormat="1" applyFont="1" applyAlignment="1">
      <alignment horizontal="center" vertical="center" wrapText="1"/>
    </xf>
    <xf numFmtId="0" fontId="25" fillId="0" borderId="1" xfId="0" applyFont="1" applyBorder="1" applyAlignment="1">
      <alignment vertical="center" wrapText="1"/>
    </xf>
    <xf numFmtId="0" fontId="20" fillId="0" borderId="1" xfId="0" applyFont="1" applyBorder="1" applyAlignment="1">
      <alignment vertical="center" wrapText="1"/>
    </xf>
    <xf numFmtId="0" fontId="3" fillId="15" borderId="18" xfId="0" applyFont="1" applyFill="1" applyBorder="1" applyAlignment="1">
      <alignment horizontal="center" vertical="center"/>
    </xf>
    <xf numFmtId="0" fontId="4" fillId="15" borderId="1" xfId="0" applyFont="1" applyFill="1" applyBorder="1" applyAlignment="1">
      <alignment horizontal="center" vertical="center" wrapText="1"/>
    </xf>
    <xf numFmtId="164" fontId="3" fillId="15" borderId="1" xfId="0" applyNumberFormat="1" applyFont="1" applyFill="1" applyBorder="1" applyAlignment="1">
      <alignment horizontal="center" vertical="center"/>
    </xf>
    <xf numFmtId="0" fontId="19" fillId="0" borderId="1" xfId="0" applyFont="1" applyBorder="1" applyAlignment="1">
      <alignment horizontal="left" vertical="center" wrapText="1"/>
    </xf>
    <xf numFmtId="164" fontId="18" fillId="15" borderId="1" xfId="0" applyNumberFormat="1" applyFont="1" applyFill="1" applyBorder="1" applyAlignment="1">
      <alignment horizontal="center" vertical="center"/>
    </xf>
    <xf numFmtId="0" fontId="4" fillId="15" borderId="3" xfId="0" applyFont="1" applyFill="1" applyBorder="1" applyAlignment="1">
      <alignment horizontal="center" vertical="center" wrapText="1"/>
    </xf>
    <xf numFmtId="164" fontId="18" fillId="0" borderId="1" xfId="0" applyNumberFormat="1" applyFont="1" applyBorder="1" applyAlignment="1">
      <alignment horizontal="center" vertical="center"/>
    </xf>
    <xf numFmtId="0" fontId="4" fillId="15" borderId="1" xfId="0" applyFont="1" applyFill="1" applyBorder="1" applyAlignment="1">
      <alignment horizontal="left" vertical="center" wrapText="1"/>
    </xf>
    <xf numFmtId="0" fontId="4" fillId="15" borderId="3" xfId="0" applyFont="1" applyFill="1" applyBorder="1" applyAlignment="1">
      <alignment horizontal="center" vertical="center"/>
    </xf>
    <xf numFmtId="0" fontId="4" fillId="15" borderId="1" xfId="0" applyFont="1" applyFill="1" applyBorder="1" applyAlignment="1">
      <alignment horizontal="center" vertical="center"/>
    </xf>
    <xf numFmtId="0" fontId="19" fillId="15" borderId="20" xfId="0" applyFont="1" applyFill="1" applyBorder="1" applyAlignment="1">
      <alignment horizontal="center" vertical="center"/>
    </xf>
    <xf numFmtId="0" fontId="19" fillId="15" borderId="18" xfId="0" applyFont="1" applyFill="1" applyBorder="1" applyAlignment="1">
      <alignment horizontal="center" vertical="center"/>
    </xf>
    <xf numFmtId="0" fontId="5" fillId="15" borderId="1" xfId="0" applyFont="1" applyFill="1" applyBorder="1" applyAlignment="1">
      <alignment horizontal="center" vertical="center" wrapText="1"/>
    </xf>
    <xf numFmtId="0" fontId="19" fillId="0" borderId="18" xfId="0" applyFont="1" applyBorder="1" applyAlignment="1">
      <alignment horizontal="center" vertical="center"/>
    </xf>
    <xf numFmtId="0" fontId="19" fillId="0" borderId="18" xfId="0" applyFont="1" applyBorder="1" applyAlignment="1">
      <alignment horizontal="center" vertical="center" wrapText="1"/>
    </xf>
    <xf numFmtId="0" fontId="25" fillId="0" borderId="1" xfId="0" applyFont="1" applyBorder="1" applyAlignment="1">
      <alignment horizontal="center" vertical="center"/>
    </xf>
    <xf numFmtId="0" fontId="26" fillId="0" borderId="0" xfId="0" applyFont="1" applyAlignment="1">
      <alignment vertical="center"/>
    </xf>
    <xf numFmtId="44" fontId="0" fillId="0" borderId="0" xfId="5" applyFont="1"/>
    <xf numFmtId="44" fontId="0" fillId="0" borderId="0" xfId="0" applyNumberFormat="1"/>
    <xf numFmtId="44" fontId="17" fillId="0" borderId="0" xfId="5" applyFont="1"/>
    <xf numFmtId="0" fontId="17" fillId="0" borderId="0" xfId="0" applyFont="1"/>
    <xf numFmtId="0" fontId="18" fillId="0" borderId="18" xfId="0" applyFont="1" applyBorder="1" applyAlignment="1">
      <alignment horizontal="center" vertical="center" wrapText="1"/>
    </xf>
    <xf numFmtId="164" fontId="19" fillId="0" borderId="1" xfId="0" applyNumberFormat="1" applyFont="1" applyBorder="1" applyAlignment="1">
      <alignment horizontal="center" vertical="center"/>
    </xf>
    <xf numFmtId="0" fontId="19" fillId="0" borderId="20" xfId="0" applyFont="1" applyBorder="1" applyAlignment="1">
      <alignment horizontal="center" vertical="center"/>
    </xf>
    <xf numFmtId="1" fontId="5" fillId="0" borderId="1" xfId="0" applyNumberFormat="1" applyFont="1" applyBorder="1" applyAlignment="1">
      <alignment horizontal="center" vertical="center" wrapText="1"/>
    </xf>
    <xf numFmtId="0" fontId="28" fillId="17" borderId="25" xfId="0" applyFont="1" applyFill="1" applyBorder="1" applyAlignment="1">
      <alignment vertical="center" wrapText="1"/>
    </xf>
    <xf numFmtId="0" fontId="29" fillId="0" borderId="25" xfId="0" applyFont="1" applyBorder="1" applyAlignment="1">
      <alignment vertical="center" wrapText="1"/>
    </xf>
    <xf numFmtId="0" fontId="0" fillId="0" borderId="25" xfId="0" applyBorder="1" applyAlignment="1">
      <alignment vertical="center" wrapText="1"/>
    </xf>
    <xf numFmtId="164" fontId="30" fillId="0" borderId="1" xfId="0" applyNumberFormat="1" applyFont="1" applyBorder="1" applyAlignment="1">
      <alignment horizontal="center" vertical="center" wrapText="1"/>
    </xf>
    <xf numFmtId="0" fontId="22" fillId="0" borderId="20" xfId="0" applyFont="1" applyBorder="1" applyAlignment="1">
      <alignment horizontal="center" vertical="center"/>
    </xf>
    <xf numFmtId="0" fontId="22" fillId="0" borderId="18" xfId="0" applyFont="1" applyBorder="1" applyAlignment="1">
      <alignment horizontal="center" vertical="center" wrapText="1"/>
    </xf>
    <xf numFmtId="0" fontId="27" fillId="0" borderId="1" xfId="0" applyFont="1" applyBorder="1" applyAlignment="1">
      <alignment vertical="center" wrapText="1"/>
    </xf>
    <xf numFmtId="0" fontId="13" fillId="0" borderId="12" xfId="0" applyFont="1" applyBorder="1" applyAlignment="1">
      <alignment vertical="center" wrapText="1"/>
    </xf>
    <xf numFmtId="0" fontId="13" fillId="0" borderId="12" xfId="0" applyFont="1" applyBorder="1" applyAlignment="1">
      <alignment horizontal="center" vertical="center" wrapText="1"/>
    </xf>
    <xf numFmtId="0" fontId="13" fillId="0" borderId="12" xfId="0" applyFont="1" applyBorder="1" applyAlignment="1">
      <alignment horizontal="left" vertical="center" wrapText="1"/>
    </xf>
    <xf numFmtId="0" fontId="13" fillId="7" borderId="13" xfId="0" applyFont="1" applyFill="1" applyBorder="1" applyAlignment="1">
      <alignment horizontal="center" vertical="center" wrapText="1"/>
    </xf>
    <xf numFmtId="0" fontId="13" fillId="7" borderId="14" xfId="0" applyFont="1" applyFill="1" applyBorder="1" applyAlignment="1">
      <alignment horizontal="center" vertical="center" wrapText="1"/>
    </xf>
    <xf numFmtId="1" fontId="13" fillId="8" borderId="13" xfId="0" applyNumberFormat="1" applyFont="1" applyFill="1" applyBorder="1" applyAlignment="1">
      <alignment horizontal="center" vertical="center" wrapText="1"/>
    </xf>
    <xf numFmtId="1" fontId="13" fillId="8" borderId="14" xfId="0" applyNumberFormat="1" applyFont="1" applyFill="1" applyBorder="1" applyAlignment="1">
      <alignment horizontal="center" vertical="center" wrapText="1"/>
    </xf>
    <xf numFmtId="1" fontId="13" fillId="8" borderId="15" xfId="0" applyNumberFormat="1" applyFont="1" applyFill="1" applyBorder="1" applyAlignment="1">
      <alignment horizontal="center" vertical="center" wrapText="1"/>
    </xf>
    <xf numFmtId="0" fontId="28" fillId="17" borderId="25" xfId="0" applyFont="1" applyFill="1" applyBorder="1" applyAlignment="1">
      <alignment vertical="center" wrapText="1"/>
    </xf>
  </cellXfs>
  <cellStyles count="6">
    <cellStyle name="Énfasis6" xfId="1" builtinId="49"/>
    <cellStyle name="Estilo 1" xfId="2" xr:uid="{D46EC134-2C87-4216-A2C0-DD9582B974D2}"/>
    <cellStyle name="Moneda" xfId="5" builtinId="4"/>
    <cellStyle name="Moneda 2" xfId="3" xr:uid="{031F9E23-40D3-4365-A7D3-47445E19B990}"/>
    <cellStyle name="Moneda 3" xfId="4" xr:uid="{64D2FD2C-AFAA-4CB9-949C-A3A4CE2134D7}"/>
    <cellStyle name="Normal" xfId="0" builtinId="0"/>
  </cellStyles>
  <dxfs count="9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auto="1"/>
        <name val="Calibri"/>
        <family val="2"/>
        <scheme val="minor"/>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numFmt numFmtId="164"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rgb="FFFF0000"/>
        <name val="Calibri"/>
        <family val="2"/>
        <scheme val="minor"/>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8"/>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B8FEEC"/>
      <color rgb="FFFFCCFF"/>
      <color rgb="FFC28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7" Type="http://schemas.openxmlformats.org/officeDocument/2006/relationships/customXml" Target="../ink/ink2.xml"/><Relationship Id="rId1" Type="http://schemas.openxmlformats.org/officeDocument/2006/relationships/customXml" Target="../ink/ink1.xml"/><Relationship Id="rId6"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ustomXml" Target="../ink/ink3.xml"/><Relationship Id="rId6" Type="http://schemas.openxmlformats.org/officeDocument/2006/relationships/image" Target="../media/image3.png"/></Relationships>
</file>

<file path=xl/drawings/_rels/drawing3.xml.rels><?xml version="1.0" encoding="UTF-8" standalone="yes"?>
<Relationships xmlns="http://schemas.openxmlformats.org/package/2006/relationships"><Relationship Id="rId7" Type="http://schemas.openxmlformats.org/officeDocument/2006/relationships/customXml" Target="../ink/ink5.xml"/><Relationship Id="rId1" Type="http://schemas.openxmlformats.org/officeDocument/2006/relationships/customXml" Target="../ink/ink4.xml"/><Relationship Id="rId6" Type="http://schemas.openxmlformats.org/officeDocument/2006/relationships/image" Target="../media/image3.png"/></Relationships>
</file>

<file path=xl/drawings/_rels/drawing4.xml.rels><?xml version="1.0" encoding="UTF-8" standalone="yes"?>
<Relationships xmlns="http://schemas.openxmlformats.org/package/2006/relationships"><Relationship Id="rId7" Type="http://schemas.openxmlformats.org/officeDocument/2006/relationships/customXml" Target="../ink/ink7.xml"/><Relationship Id="rId1" Type="http://schemas.openxmlformats.org/officeDocument/2006/relationships/customXml" Target="../ink/ink6.xml"/><Relationship Id="rId6"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ustomXml" Target="../ink/ink8.xml"/><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18645</xdr:colOff>
      <xdr:row>1</xdr:row>
      <xdr:rowOff>475740</xdr:rowOff>
    </xdr:from>
    <xdr:to>
      <xdr:col>2</xdr:col>
      <xdr:colOff>25905</xdr:colOff>
      <xdr:row>1</xdr:row>
      <xdr:rowOff>483000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0" name="Entrada de lápiz 9">
              <a:extLst>
                <a:ext uri="{FF2B5EF4-FFF2-40B4-BE49-F238E27FC236}">
                  <a16:creationId xmlns:a16="http://schemas.microsoft.com/office/drawing/2014/main" id="{A31293D1-EACE-DD71-5D81-368AD9E0CEB1}"/>
                </a:ext>
              </a:extLst>
            </xdr14:cNvPr>
            <xdr14:cNvContentPartPr/>
          </xdr14:nvContentPartPr>
          <xdr14:nvPr macro=""/>
          <xdr14:xfrm>
            <a:off x="1914120" y="818640"/>
            <a:ext cx="360" cy="360"/>
          </xdr14:xfrm>
        </xdr:contentPart>
      </mc:Choice>
      <mc:Fallback xmlns="">
        <xdr:pic>
          <xdr:nvPicPr>
            <xdr:cNvPr id="10" name="Entrada de lápiz 9">
              <a:extLst>
                <a:ext uri="{FF2B5EF4-FFF2-40B4-BE49-F238E27FC236}">
                  <a16:creationId xmlns:a16="http://schemas.microsoft.com/office/drawing/2014/main" id="{A31293D1-EACE-DD71-5D81-368AD9E0CEB1}"/>
                </a:ext>
              </a:extLst>
            </xdr:cNvPr>
            <xdr:cNvPicPr/>
          </xdr:nvPicPr>
          <xdr:blipFill>
            <a:blip xmlns:r="http://schemas.openxmlformats.org/officeDocument/2006/relationships" r:embed="rId6"/>
            <a:stretch>
              <a:fillRect/>
            </a:stretch>
          </xdr:blipFill>
          <xdr:spPr>
            <a:xfrm>
              <a:off x="1908000" y="812520"/>
              <a:ext cx="12600" cy="12600"/>
            </a:xfrm>
            <a:prstGeom prst="rect">
              <a:avLst/>
            </a:prstGeom>
          </xdr:spPr>
        </xdr:pic>
      </mc:Fallback>
    </mc:AlternateContent>
    <xdr:clientData/>
  </xdr:twoCellAnchor>
  <xdr:twoCellAnchor editAs="oneCell">
    <xdr:from>
      <xdr:col>2</xdr:col>
      <xdr:colOff>695085</xdr:colOff>
      <xdr:row>1</xdr:row>
      <xdr:rowOff>513900</xdr:rowOff>
    </xdr:from>
    <xdr:to>
      <xdr:col>2</xdr:col>
      <xdr:colOff>707999</xdr:colOff>
      <xdr:row>2</xdr:row>
      <xdr:rowOff>19644</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1" name="Entrada de lápiz 10">
              <a:extLst>
                <a:ext uri="{FF2B5EF4-FFF2-40B4-BE49-F238E27FC236}">
                  <a16:creationId xmlns:a16="http://schemas.microsoft.com/office/drawing/2014/main" id="{8446287B-88B7-C8C2-9698-7E62A43EEEF4}"/>
                </a:ext>
              </a:extLst>
            </xdr14:cNvPr>
            <xdr14:cNvContentPartPr/>
          </xdr14:nvContentPartPr>
          <xdr14:nvPr macro=""/>
          <xdr14:xfrm>
            <a:off x="2590560" y="856800"/>
            <a:ext cx="360" cy="360"/>
          </xdr14:xfrm>
        </xdr:contentPart>
      </mc:Choice>
      <mc:Fallback xmlns="">
        <xdr:pic>
          <xdr:nvPicPr>
            <xdr:cNvPr id="11" name="Entrada de lápiz 10">
              <a:extLst>
                <a:ext uri="{FF2B5EF4-FFF2-40B4-BE49-F238E27FC236}">
                  <a16:creationId xmlns:a16="http://schemas.microsoft.com/office/drawing/2014/main" id="{8446287B-88B7-C8C2-9698-7E62A43EEEF4}"/>
                </a:ext>
              </a:extLst>
            </xdr:cNvPr>
            <xdr:cNvPicPr/>
          </xdr:nvPicPr>
          <xdr:blipFill>
            <a:blip xmlns:r="http://schemas.openxmlformats.org/officeDocument/2006/relationships" r:embed="rId6"/>
            <a:stretch>
              <a:fillRect/>
            </a:stretch>
          </xdr:blipFill>
          <xdr:spPr>
            <a:xfrm>
              <a:off x="2584440" y="850680"/>
              <a:ext cx="12600" cy="12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695085</xdr:colOff>
      <xdr:row>0</xdr:row>
      <xdr:rowOff>513900</xdr:rowOff>
    </xdr:from>
    <xdr:to>
      <xdr:col>2</xdr:col>
      <xdr:colOff>20294</xdr:colOff>
      <xdr:row>1</xdr:row>
      <xdr:rowOff>15834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EA005A56-398D-4348-80EA-AAEC54995F7E}"/>
                </a:ext>
              </a:extLst>
            </xdr14:cNvPr>
            <xdr14:cNvContentPartPr/>
          </xdr14:nvContentPartPr>
          <xdr14:nvPr macro=""/>
          <xdr14:xfrm>
            <a:off x="2590560" y="856800"/>
            <a:ext cx="360" cy="360"/>
          </xdr14:xfrm>
        </xdr:contentPart>
      </mc:Choice>
      <mc:Fallback xmlns="">
        <xdr:pic>
          <xdr:nvPicPr>
            <xdr:cNvPr id="11" name="Entrada de lápiz 10">
              <a:extLst>
                <a:ext uri="{FF2B5EF4-FFF2-40B4-BE49-F238E27FC236}">
                  <a16:creationId xmlns:a16="http://schemas.microsoft.com/office/drawing/2014/main" id="{8446287B-88B7-C8C2-9698-7E62A43EEEF4}"/>
                </a:ext>
              </a:extLst>
            </xdr:cNvPr>
            <xdr:cNvPicPr/>
          </xdr:nvPicPr>
          <xdr:blipFill>
            <a:blip xmlns:r="http://schemas.openxmlformats.org/officeDocument/2006/relationships" r:embed="rId6"/>
            <a:stretch>
              <a:fillRect/>
            </a:stretch>
          </xdr:blipFill>
          <xdr:spPr>
            <a:xfrm>
              <a:off x="2584440" y="850680"/>
              <a:ext cx="12600" cy="126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18645</xdr:colOff>
      <xdr:row>0</xdr:row>
      <xdr:rowOff>475740</xdr:rowOff>
    </xdr:from>
    <xdr:to>
      <xdr:col>1</xdr:col>
      <xdr:colOff>22815</xdr:colOff>
      <xdr:row>1</xdr:row>
      <xdr:rowOff>51865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Entrada de lápiz 3">
              <a:extLst>
                <a:ext uri="{FF2B5EF4-FFF2-40B4-BE49-F238E27FC236}">
                  <a16:creationId xmlns:a16="http://schemas.microsoft.com/office/drawing/2014/main" id="{A146E7C8-A9FE-4632-B9CF-D18BCEC69BB7}"/>
                </a:ext>
              </a:extLst>
            </xdr14:cNvPr>
            <xdr14:cNvContentPartPr/>
          </xdr14:nvContentPartPr>
          <xdr14:nvPr macro=""/>
          <xdr14:xfrm>
            <a:off x="1914120" y="818640"/>
            <a:ext cx="360" cy="360"/>
          </xdr14:xfrm>
        </xdr:contentPart>
      </mc:Choice>
      <mc:Fallback xmlns="">
        <xdr:pic>
          <xdr:nvPicPr>
            <xdr:cNvPr id="10" name="Entrada de lápiz 9">
              <a:extLst>
                <a:ext uri="{FF2B5EF4-FFF2-40B4-BE49-F238E27FC236}">
                  <a16:creationId xmlns:a16="http://schemas.microsoft.com/office/drawing/2014/main" id="{A31293D1-EACE-DD71-5D81-368AD9E0CEB1}"/>
                </a:ext>
              </a:extLst>
            </xdr:cNvPr>
            <xdr:cNvPicPr/>
          </xdr:nvPicPr>
          <xdr:blipFill>
            <a:blip xmlns:r="http://schemas.openxmlformats.org/officeDocument/2006/relationships" r:embed="rId6"/>
            <a:stretch>
              <a:fillRect/>
            </a:stretch>
          </xdr:blipFill>
          <xdr:spPr>
            <a:xfrm>
              <a:off x="1908000" y="812520"/>
              <a:ext cx="12600" cy="12600"/>
            </a:xfrm>
            <a:prstGeom prst="rect">
              <a:avLst/>
            </a:prstGeom>
          </xdr:spPr>
        </xdr:pic>
      </mc:Fallback>
    </mc:AlternateContent>
    <xdr:clientData/>
  </xdr:twoCellAnchor>
  <xdr:twoCellAnchor editAs="oneCell">
    <xdr:from>
      <xdr:col>10</xdr:col>
      <xdr:colOff>695085</xdr:colOff>
      <xdr:row>0</xdr:row>
      <xdr:rowOff>513900</xdr:rowOff>
    </xdr:from>
    <xdr:to>
      <xdr:col>10</xdr:col>
      <xdr:colOff>704189</xdr:colOff>
      <xdr:row>1</xdr:row>
      <xdr:rowOff>29749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Entrada de lápiz 4">
              <a:extLst>
                <a:ext uri="{FF2B5EF4-FFF2-40B4-BE49-F238E27FC236}">
                  <a16:creationId xmlns:a16="http://schemas.microsoft.com/office/drawing/2014/main" id="{48DDEB84-DF04-4425-B568-94B2E432BFBB}"/>
                </a:ext>
              </a:extLst>
            </xdr14:cNvPr>
            <xdr14:cNvContentPartPr/>
          </xdr14:nvContentPartPr>
          <xdr14:nvPr macro=""/>
          <xdr14:xfrm>
            <a:off x="2590560" y="856800"/>
            <a:ext cx="360" cy="360"/>
          </xdr14:xfrm>
        </xdr:contentPart>
      </mc:Choice>
      <mc:Fallback xmlns="">
        <xdr:pic>
          <xdr:nvPicPr>
            <xdr:cNvPr id="11" name="Entrada de lápiz 10">
              <a:extLst>
                <a:ext uri="{FF2B5EF4-FFF2-40B4-BE49-F238E27FC236}">
                  <a16:creationId xmlns:a16="http://schemas.microsoft.com/office/drawing/2014/main" id="{8446287B-88B7-C8C2-9698-7E62A43EEEF4}"/>
                </a:ext>
              </a:extLst>
            </xdr:cNvPr>
            <xdr:cNvPicPr/>
          </xdr:nvPicPr>
          <xdr:blipFill>
            <a:blip xmlns:r="http://schemas.openxmlformats.org/officeDocument/2006/relationships" r:embed="rId6"/>
            <a:stretch>
              <a:fillRect/>
            </a:stretch>
          </xdr:blipFill>
          <xdr:spPr>
            <a:xfrm>
              <a:off x="2584440" y="850680"/>
              <a:ext cx="12600" cy="126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475740</xdr:rowOff>
    </xdr:from>
    <xdr:to>
      <xdr:col>1</xdr:col>
      <xdr:colOff>3450</xdr:colOff>
      <xdr:row>1</xdr:row>
      <xdr:rowOff>41760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44198233-724F-4D6B-B1D2-BA8AE53ECB34}"/>
                </a:ext>
              </a:extLst>
            </xdr14:cNvPr>
            <xdr14:cNvContentPartPr/>
          </xdr14:nvContentPartPr>
          <xdr14:nvPr macro=""/>
          <xdr14:xfrm>
            <a:off x="1914120" y="818640"/>
            <a:ext cx="360" cy="360"/>
          </xdr14:xfrm>
        </xdr:contentPart>
      </mc:Choice>
      <mc:Fallback xmlns="">
        <xdr:pic>
          <xdr:nvPicPr>
            <xdr:cNvPr id="10" name="Entrada de lápiz 9">
              <a:extLst>
                <a:ext uri="{FF2B5EF4-FFF2-40B4-BE49-F238E27FC236}">
                  <a16:creationId xmlns:a16="http://schemas.microsoft.com/office/drawing/2014/main" id="{A31293D1-EACE-DD71-5D81-368AD9E0CEB1}"/>
                </a:ext>
              </a:extLst>
            </xdr:cNvPr>
            <xdr:cNvPicPr/>
          </xdr:nvPicPr>
          <xdr:blipFill>
            <a:blip xmlns:r="http://schemas.openxmlformats.org/officeDocument/2006/relationships" r:embed="rId6"/>
            <a:stretch>
              <a:fillRect/>
            </a:stretch>
          </xdr:blipFill>
          <xdr:spPr>
            <a:xfrm>
              <a:off x="1908000" y="812520"/>
              <a:ext cx="12600" cy="12600"/>
            </a:xfrm>
            <a:prstGeom prst="rect">
              <a:avLst/>
            </a:prstGeom>
          </xdr:spPr>
        </xdr:pic>
      </mc:Fallback>
    </mc:AlternateContent>
    <xdr:clientData/>
  </xdr:twoCellAnchor>
  <xdr:twoCellAnchor editAs="oneCell">
    <xdr:from>
      <xdr:col>1</xdr:col>
      <xdr:colOff>0</xdr:colOff>
      <xdr:row>0</xdr:row>
      <xdr:rowOff>513900</xdr:rowOff>
    </xdr:from>
    <xdr:to>
      <xdr:col>1</xdr:col>
      <xdr:colOff>19410</xdr:colOff>
      <xdr:row>1</xdr:row>
      <xdr:rowOff>15834</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 name="Entrada de lápiz 2">
              <a:extLst>
                <a:ext uri="{FF2B5EF4-FFF2-40B4-BE49-F238E27FC236}">
                  <a16:creationId xmlns:a16="http://schemas.microsoft.com/office/drawing/2014/main" id="{AB1A794E-BEC0-4A5C-B572-C07620FF99C7}"/>
                </a:ext>
              </a:extLst>
            </xdr14:cNvPr>
            <xdr14:cNvContentPartPr/>
          </xdr14:nvContentPartPr>
          <xdr14:nvPr macro=""/>
          <xdr14:xfrm>
            <a:off x="2590560" y="856800"/>
            <a:ext cx="360" cy="360"/>
          </xdr14:xfrm>
        </xdr:contentPart>
      </mc:Choice>
      <mc:Fallback xmlns="">
        <xdr:pic>
          <xdr:nvPicPr>
            <xdr:cNvPr id="11" name="Entrada de lápiz 10">
              <a:extLst>
                <a:ext uri="{FF2B5EF4-FFF2-40B4-BE49-F238E27FC236}">
                  <a16:creationId xmlns:a16="http://schemas.microsoft.com/office/drawing/2014/main" id="{8446287B-88B7-C8C2-9698-7E62A43EEEF4}"/>
                </a:ext>
              </a:extLst>
            </xdr:cNvPr>
            <xdr:cNvPicPr/>
          </xdr:nvPicPr>
          <xdr:blipFill>
            <a:blip xmlns:r="http://schemas.openxmlformats.org/officeDocument/2006/relationships" r:embed="rId6"/>
            <a:stretch>
              <a:fillRect/>
            </a:stretch>
          </xdr:blipFill>
          <xdr:spPr>
            <a:xfrm>
              <a:off x="2584440" y="850680"/>
              <a:ext cx="12600" cy="126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0</xdr:row>
      <xdr:rowOff>475740</xdr:rowOff>
    </xdr:from>
    <xdr:ext cx="3450" cy="384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7CDA3B15-87D1-4A00-9173-196AB866F8BD}"/>
                </a:ext>
              </a:extLst>
            </xdr14:cNvPr>
            <xdr14:cNvContentPartPr/>
          </xdr14:nvContentPartPr>
          <xdr14:nvPr macro=""/>
          <xdr14:xfrm>
            <a:off x="1914120" y="818640"/>
            <a:ext cx="360" cy="360"/>
          </xdr14:xfrm>
        </xdr:contentPart>
      </mc:Choice>
      <mc:Fallback xmlns="">
        <xdr:pic>
          <xdr:nvPicPr>
            <xdr:cNvPr id="10" name="Entrada de lápiz 9">
              <a:extLst>
                <a:ext uri="{FF2B5EF4-FFF2-40B4-BE49-F238E27FC236}">
                  <a16:creationId xmlns:a16="http://schemas.microsoft.com/office/drawing/2014/main" id="{A31293D1-EACE-DD71-5D81-368AD9E0CEB1}"/>
                </a:ext>
              </a:extLst>
            </xdr:cNvPr>
            <xdr:cNvPicPr/>
          </xdr:nvPicPr>
          <xdr:blipFill>
            <a:blip xmlns:r="http://schemas.openxmlformats.org/officeDocument/2006/relationships" r:embed="rId6"/>
            <a:stretch>
              <a:fillRect/>
            </a:stretch>
          </xdr:blipFill>
          <xdr:spPr>
            <a:xfrm>
              <a:off x="1908000" y="812520"/>
              <a:ext cx="12600" cy="126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05T14:19:27.632"/>
    </inkml:context>
    <inkml:brush xml:id="br0">
      <inkml:brushProperty name="width" value="0.035" units="cm"/>
      <inkml:brushProperty name="height" value="0.035" units="cm"/>
    </inkml:brush>
  </inkml:definitions>
  <inkml:trace contextRef="#ctx0" brushRef="#br0">0 1 24575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05T14:19:29.723"/>
    </inkml:context>
    <inkml:brush xml:id="br0">
      <inkml:brushProperty name="width" value="0.035" units="cm"/>
      <inkml:brushProperty name="height" value="0.035" units="cm"/>
    </inkml:brush>
  </inkml:definitions>
  <inkml:trace contextRef="#ctx0" brushRef="#br0">1 1 24575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9T22:07:42.546"/>
    </inkml:context>
    <inkml:brush xml:id="br0">
      <inkml:brushProperty name="width" value="0.035" units="cm"/>
      <inkml:brushProperty name="height" value="0.035" units="cm"/>
    </inkml:brush>
  </inkml:definitions>
  <inkml:trace contextRef="#ctx0" brushRef="#br0">1 1 24575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1T06:01:18.932"/>
    </inkml:context>
    <inkml:brush xml:id="br0">
      <inkml:brushProperty name="width" value="0.035" units="cm"/>
      <inkml:brushProperty name="height" value="0.035" units="cm"/>
    </inkml:brush>
  </inkml:definitions>
  <inkml:trace contextRef="#ctx0" brushRef="#br0">0 1 24575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1T06:01:18.933"/>
    </inkml:context>
    <inkml:brush xml:id="br0">
      <inkml:brushProperty name="width" value="0.035" units="cm"/>
      <inkml:brushProperty name="height" value="0.035" units="cm"/>
    </inkml:brush>
  </inkml:definitions>
  <inkml:trace contextRef="#ctx0" brushRef="#br0">1 1 24575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7T19:24:25.240"/>
    </inkml:context>
    <inkml:brush xml:id="br0">
      <inkml:brushProperty name="width" value="0.035" units="cm"/>
      <inkml:brushProperty name="height" value="0.035" units="cm"/>
    </inkml:brush>
  </inkml:definitions>
  <inkml:trace contextRef="#ctx0" brushRef="#br0">0 1 24575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7T19:24:25.254"/>
    </inkml:context>
    <inkml:brush xml:id="br0">
      <inkml:brushProperty name="width" value="0.035" units="cm"/>
      <inkml:brushProperty name="height" value="0.035" units="cm"/>
    </inkml:brush>
  </inkml:definitions>
  <inkml:trace contextRef="#ctx0" brushRef="#br0">1 1 24575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7T19:30:22.318"/>
    </inkml:context>
    <inkml:brush xml:id="br0">
      <inkml:brushProperty name="width" value="0.035" units="cm"/>
      <inkml:brushProperty name="height" value="0.035" units="cm"/>
    </inkml:brush>
  </inkml:definitions>
  <inkml:trace contextRef="#ctx0" brushRef="#br0">0 1 24575</inkml:trace>
</inkml:ink>
</file>

<file path=xl/persons/person.xml><?xml version="1.0" encoding="utf-8"?>
<personList xmlns="http://schemas.microsoft.com/office/spreadsheetml/2018/threadedcomments" xmlns:x="http://schemas.openxmlformats.org/spreadsheetml/2006/main">
  <person displayName="Jennifer  Casoverde - PLG DIVISION ADUANAS" id="{1E9E92D9-0E97-448B-8577-1D46349AC78D}" userId="S::documentacion2@plg.com.sv::2664b5c3-af0c-48e0-815b-812f41176698" providerId="AD"/>
  <person displayName="Ernesto  Rivera--PLG DIVISION ADUANAS" id="{096B5A0B-B248-479C-9611-D27096D1CDA6}" userId="S::operaciones.aduana11@plg.com.sv::8bfb7c79-63dd-433d-a8c5-c16422d5058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Medrano - PLGAD" refreshedDate="45908.337803009257" createdVersion="8" refreshedVersion="8" minRefreshableVersion="3" recordCount="47" xr:uid="{CA39DAEB-2130-4A4C-B005-16E8E862D162}">
  <cacheSource type="worksheet">
    <worksheetSource name="Tabla2"/>
  </cacheSource>
  <cacheFields count="50">
    <cacheField name="COMENTARIOS" numFmtId="0">
      <sharedItems containsBlank="1"/>
    </cacheField>
    <cacheField name="OT" numFmtId="0">
      <sharedItems containsBlank="1"/>
    </cacheField>
    <cacheField name="ESTATUS" numFmtId="0">
      <sharedItems containsBlank="1" count="5">
        <s v="CERRADA"/>
        <s v="FINALIZADA"/>
        <s v="PUERTO"/>
        <s v="TRANSITO"/>
        <m/>
      </sharedItems>
    </cacheField>
    <cacheField name="EXPRESS RELEASE (HBL)" numFmtId="164">
      <sharedItems containsDate="1" containsBlank="1" containsMixedTypes="1" minDate="2025-05-29T00:00:00" maxDate="2025-09-06T00:00:00"/>
    </cacheField>
    <cacheField name="CONTRA ENTREGA DE ORIGINAL (HBL)" numFmtId="164">
      <sharedItems containsDate="1" containsBlank="1" containsMixedTypes="1" minDate="2025-08-18T00:00:00" maxDate="2025-09-04T00:00:00"/>
    </cacheField>
    <cacheField name="ENTREGA DE DOC. ORIGINAL AL CNEE" numFmtId="0">
      <sharedItems containsDate="1" containsBlank="1" containsMixedTypes="1" minDate="2025-08-12T00:00:00" maxDate="2025-09-03T00:00:00"/>
    </cacheField>
    <cacheField name="CRÉDITO" numFmtId="0">
      <sharedItems containsBlank="1"/>
    </cacheField>
    <cacheField name="NOMBRE DEL CONSIGNATARIO" numFmtId="0">
      <sharedItems containsBlank="1" count="9">
        <s v="MARIO´S AUTO PARTS, S.A. DE C.V."/>
        <s v="GRUPO SPLIT"/>
        <s v="Alpina, Limitada de Capital Variable"/>
        <s v="CORBES, S.A. DE C.V."/>
        <s v="INVERSIONES LEMUS, S.A. DE C.V."/>
        <s v="GRANADOS CRUZ, S.A. DE C.V."/>
        <s v="SUPER REPUESTOS EL SALVADOR, S.A. DE C.V."/>
        <m/>
        <s v="TECNOVIDRI " u="1"/>
      </sharedItems>
    </cacheField>
    <cacheField name="NO. DOC HOUSE" numFmtId="0">
      <sharedItems containsBlank="1"/>
    </cacheField>
    <cacheField name="NO. DOC MASTER" numFmtId="0">
      <sharedItems containsBlank="1" containsMixedTypes="1" containsNumber="1" containsInteger="1" minValue="255712097" maxValue="256833043"/>
    </cacheField>
    <cacheField name="NUMERO CNTR" numFmtId="0">
      <sharedItems containsBlank="1"/>
    </cacheField>
    <cacheField name="TOTAL DE CNTR" numFmtId="0">
      <sharedItems containsString="0" containsBlank="1" containsNumber="1" containsInteger="1" minValue="1" maxValue="4"/>
    </cacheField>
    <cacheField name="TIPO DE EMBARQUE" numFmtId="0">
      <sharedItems containsBlank="1"/>
    </cacheField>
    <cacheField name="NAVIERA (Destino)" numFmtId="0">
      <sharedItems containsBlank="1"/>
    </cacheField>
    <cacheField name="FECHA EMISION DE MB/L" numFmtId="0">
      <sharedItems containsNonDate="0" containsDate="1" containsString="0" containsBlank="1" minDate="2025-05-21T00:00:00" maxDate="2025-08-08T00:00:00"/>
    </cacheField>
    <cacheField name="PUERTO DE ARRIBO/PAIS" numFmtId="0">
      <sharedItems containsBlank="1"/>
    </cacheField>
    <cacheField name="DESTINO FINAL DE EMBARQUE" numFmtId="0">
      <sharedItems containsBlank="1"/>
    </cacheField>
    <cacheField name="SOLICITUD  MOVIMIENTO PRESTAMO DE EQUIPO " numFmtId="0">
      <sharedItems containsNonDate="0" containsDate="1" containsString="0" containsBlank="1" minDate="2025-08-18T00:00:00" maxDate="2025-08-19T00:00:00"/>
    </cacheField>
    <cacheField name="BARCO Y VIAJE DE ARRIBO" numFmtId="0">
      <sharedItems containsBlank="1"/>
    </cacheField>
    <cacheField name="FECHA ATRAQUE" numFmtId="0">
      <sharedItems containsNonDate="0" containsDate="1" containsString="0" containsBlank="1" minDate="2025-08-08T00:00:00" maxDate="2025-10-18T00:00:00"/>
    </cacheField>
    <cacheField name="FECHA TARJA" numFmtId="0">
      <sharedItems containsNonDate="0" containsDate="1" containsString="0" containsBlank="1" minDate="2025-08-17T00:00:00" maxDate="2025-08-31T00:00:00"/>
    </cacheField>
    <cacheField name="TIEMPO DE TRANSITO" numFmtId="1">
      <sharedItems containsSemiMixedTypes="0" containsString="0" containsNumber="1" containsInteger="1" minValue="1" maxValue="45920"/>
    </cacheField>
    <cacheField name="ALERTA NOTIFICACIÓN" numFmtId="0">
      <sharedItems containsSemiMixedTypes="0" containsString="0" containsNumber="1" containsInteger="1" minValue="-1" maxValue="1"/>
    </cacheField>
    <cacheField name="¿PRE ALERTARDO?" numFmtId="0">
      <sharedItems containsBlank="1"/>
    </cacheField>
    <cacheField name="FECHA ENVIO PRE-ALERTA AL CNEE" numFmtId="0">
      <sharedItems containsNonDate="0" containsDate="1" containsString="0" containsBlank="1" minDate="2025-06-06T00:00:00" maxDate="2025-09-06T00:00:00"/>
    </cacheField>
    <cacheField name="ALERTA FACTURACION" numFmtId="0">
      <sharedItems containsSemiMixedTypes="0" containsString="0" containsNumber="1" containsInteger="1" minValue="-1" maxValue="1"/>
    </cacheField>
    <cacheField name="¿FACTURADO?" numFmtId="0">
      <sharedItems containsBlank="1"/>
    </cacheField>
    <cacheField name="FECHA SOLICITUD FACTURACION" numFmtId="0">
      <sharedItems containsDate="1" containsString="0" containsBlank="1" containsMixedTypes="1" minDate="2025-07-27T00:00:00" maxDate="2025-09-06T00:00:00"/>
    </cacheField>
    <cacheField name="FECHA RECEPCION DE FACTURA" numFmtId="0">
      <sharedItems containsNonDate="0" containsDate="1" containsString="0" containsBlank="1" minDate="2025-08-11T00:00:00" maxDate="2025-09-06T00:00:00"/>
    </cacheField>
    <cacheField name="DIAS LIBRES ALMACENAJE" numFmtId="0">
      <sharedItems containsString="0" containsBlank="1" containsNumber="1" containsInteger="1" minValue="5" maxValue="7"/>
    </cacheField>
    <cacheField name="RETIRO DE PUERTO" numFmtId="164">
      <sharedItems containsNonDate="0" containsDate="1" containsString="0" containsBlank="1" minDate="2025-08-21T00:00:00" maxDate="2025-09-03T00:00:00"/>
    </cacheField>
    <cacheField name="ALERTA ALMACENAJES" numFmtId="0">
      <sharedItems containsSemiMixedTypes="0" containsString="0" containsNumber="1" containsInteger="1" minValue="-1" maxValue="1"/>
    </cacheField>
    <cacheField name="DIAS GENERADOS ALMACENAJE" numFmtId="1">
      <sharedItems containsSemiMixedTypes="0" containsString="0" containsNumber="1" containsInteger="1" minValue="0" maxValue="29"/>
    </cacheField>
    <cacheField name="FACTURACION ALMACENAJE" numFmtId="164">
      <sharedItems containsBlank="1"/>
    </cacheField>
    <cacheField name="DIAS LIBRES DEMORA" numFmtId="0">
      <sharedItems containsString="0" containsBlank="1" containsNumber="1" containsInteger="1" minValue="14" maxValue="14"/>
    </cacheField>
    <cacheField name="ENTREGA DE VACIO EN PREDIO" numFmtId="164">
      <sharedItems containsNonDate="0" containsDate="1" containsString="0" containsBlank="1" minDate="2025-09-03T00:00:00" maxDate="2025-09-04T00:00:00"/>
    </cacheField>
    <cacheField name="ALERTA DEMORA" numFmtId="0">
      <sharedItems containsSemiMixedTypes="0" containsString="0" containsNumber="1" containsInteger="1" minValue="-1" maxValue="1"/>
    </cacheField>
    <cacheField name="DIAS GENERADOS DEMORA" numFmtId="1">
      <sharedItems containsSemiMixedTypes="0" containsString="0" containsNumber="1" containsInteger="1" minValue="0" maxValue="29"/>
    </cacheField>
    <cacheField name="FACTURACION DEMORAS" numFmtId="164">
      <sharedItems containsNonDate="0" containsString="0" containsBlank="1"/>
    </cacheField>
    <cacheField name="RECEPCION OT" numFmtId="0">
      <sharedItems containsNonDate="0" containsDate="1" containsString="0" containsBlank="1" minDate="2025-05-30T00:00:00" maxDate="2025-09-07T00:00:00"/>
    </cacheField>
    <cacheField name="PUERTO DE SALIDA (ORIGEN)" numFmtId="0">
      <sharedItems containsBlank="1"/>
    </cacheField>
    <cacheField name="ETD" numFmtId="0">
      <sharedItems containsNonDate="0" containsDate="1" containsString="0" containsBlank="1" minDate="2025-05-09T00:00:00" maxDate="2025-08-24T00:00:00"/>
    </cacheField>
    <cacheField name="PUERTO DE TRANSBORDO" numFmtId="0">
      <sharedItems containsBlank="1"/>
    </cacheField>
    <cacheField name="ARRIBO A TRANSBORDO" numFmtId="0">
      <sharedItems containsNonDate="0" containsDate="1" containsString="0" containsBlank="1" minDate="2025-06-25T00:00:00" maxDate="2025-10-02T00:00:00"/>
    </cacheField>
    <cacheField name="TIEMPO EN TRANSBORDO" numFmtId="1">
      <sharedItems containsSemiMixedTypes="0" containsString="0" containsNumber="1" containsInteger="1" minValue="1" maxValue="45934"/>
    </cacheField>
    <cacheField name="PROVISION DE PROVEEDOR" numFmtId="164">
      <sharedItems containsNonDate="0" containsString="0" containsBlank="1"/>
    </cacheField>
    <cacheField name="ENVIO MF A NAVIERA PARA TARJA" numFmtId="0">
      <sharedItems containsNonDate="0" containsDate="1" containsString="0" containsBlank="1" minDate="2025-06-27T00:00:00" maxDate="2025-08-20T00:00:00"/>
    </cacheField>
    <cacheField name="ENVIO CIERRE DE OT" numFmtId="164">
      <sharedItems containsBlank="1"/>
    </cacheField>
    <cacheField name="OPERATIVO" numFmtId="164">
      <sharedItems/>
    </cacheField>
    <cacheField name="Columna1" numFmtId="2">
      <sharedItems containsSemiMixedTypes="0" containsString="0" containsNumber="1" containsInteger="1" minValue="-45908" maxValue="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m/>
    <s v="25OT1327"/>
    <x v="0"/>
    <s v="N/A"/>
    <m/>
    <m/>
    <m/>
    <x v="0"/>
    <s v="SYNSHA25SE041889"/>
    <s v="TWN0953775"/>
    <s v="CMAU7496685"/>
    <n v="1"/>
    <s v="FCL"/>
    <s v="CMA CGM"/>
    <d v="2025-06-24T00:00:00"/>
    <s v="ACAJUTLA, EL SALVADOR"/>
    <s v="ACAJUTLA, EL SALVADOR"/>
    <m/>
    <s v="CHIAPAS STAR 0M3S5N1MA"/>
    <d v="2025-08-08T00:00:00"/>
    <m/>
    <n v="80"/>
    <n v="0"/>
    <s v="SI"/>
    <d v="2025-06-30T00:00:00"/>
    <n v="0"/>
    <s v="SI"/>
    <d v="2025-08-09T00:00:00"/>
    <d v="2025-08-11T00:00:00"/>
    <m/>
    <m/>
    <n v="1"/>
    <n v="0"/>
    <m/>
    <m/>
    <m/>
    <n v="1"/>
    <n v="0"/>
    <m/>
    <d v="2025-05-30T00:00:00"/>
    <s v="KAOHSIUNG, TAIWAN"/>
    <d v="2025-05-21T00:00:00"/>
    <s v="LAZARO CARDENAS, MEXICO"/>
    <d v="2025-06-25T00:00:00"/>
    <n v="45"/>
    <m/>
    <d v="2025-06-27T00:00:00"/>
    <m/>
    <s v="JENNIFER"/>
    <n v="-31"/>
  </r>
  <r>
    <m/>
    <s v="25OT1073"/>
    <x v="0"/>
    <s v="N/A"/>
    <m/>
    <m/>
    <m/>
    <x v="0"/>
    <s v="SYNSHA25SE040282"/>
    <s v="TWN0956298"/>
    <s v="CMAU5551633"/>
    <n v="1"/>
    <s v="FCL"/>
    <s v="CMA CGM"/>
    <d v="2025-06-24T00:00:00"/>
    <s v="ACAJUTLA, EL SALVADOR"/>
    <s v="ACAJUTLA, EL SALVADOR"/>
    <m/>
    <s v="CHIAPAS STAR 0M3S5N1MA"/>
    <d v="2025-08-08T00:00:00"/>
    <m/>
    <n v="79"/>
    <n v="0"/>
    <s v="SI"/>
    <d v="2025-06-30T00:00:00"/>
    <n v="0"/>
    <s v="SI"/>
    <d v="2025-08-09T00:00:00"/>
    <d v="2025-08-11T00:00:00"/>
    <m/>
    <m/>
    <n v="1"/>
    <n v="0"/>
    <m/>
    <m/>
    <m/>
    <n v="1"/>
    <n v="0"/>
    <m/>
    <d v="2025-05-30T00:00:00"/>
    <s v="KAOHSIUNG, TAIWAN"/>
    <d v="2025-05-22T00:00:00"/>
    <s v="LAZARO CARDENAS, MEXICO"/>
    <d v="2025-06-25T00:00:00"/>
    <n v="45"/>
    <m/>
    <d v="2025-06-27T00:00:00"/>
    <m/>
    <s v="JENNIFER"/>
    <n v="-31"/>
  </r>
  <r>
    <m/>
    <s v="25OT1395 "/>
    <x v="0"/>
    <d v="2025-05-29T00:00:00"/>
    <m/>
    <m/>
    <m/>
    <x v="1"/>
    <s v="SYNCAN25SE050156"/>
    <s v="ZSN0740462"/>
    <s v="CMAU4564620"/>
    <n v="1"/>
    <s v="FCL"/>
    <s v="CMA CGM"/>
    <d v="2025-05-21T00:00:00"/>
    <s v="ACAJUTLA, EL SALVADOR"/>
    <s v="ACAJUTLA, EL SALVADOR"/>
    <m/>
    <s v="CHIAPAS STAR 0M3S5N1MA"/>
    <d v="2025-08-08T00:00:00"/>
    <m/>
    <n v="92"/>
    <n v="0"/>
    <s v="SI"/>
    <d v="2025-06-06T00:00:00"/>
    <n v="0"/>
    <s v="SI"/>
    <d v="2025-08-11T00:00:00"/>
    <d v="2025-08-11T00:00:00"/>
    <m/>
    <m/>
    <n v="1"/>
    <n v="0"/>
    <m/>
    <m/>
    <m/>
    <n v="1"/>
    <n v="0"/>
    <m/>
    <d v="2025-07-18T00:00:00"/>
    <s v="ZHONGSHAN, CHINA"/>
    <d v="2025-05-09T00:00:00"/>
    <s v="LAZARO CARDENAS, MEXICO"/>
    <d v="2025-06-25T00:00:00"/>
    <n v="45"/>
    <m/>
    <d v="2025-06-27T00:00:00"/>
    <m/>
    <s v="JENNIFER"/>
    <n v="-31"/>
  </r>
  <r>
    <m/>
    <s v="25OT1812 "/>
    <x v="0"/>
    <s v="N/A"/>
    <m/>
    <m/>
    <m/>
    <x v="2"/>
    <s v="PDES00100244 "/>
    <s v="ONEYSELFA2023300"/>
    <s v="TRHU4850758 "/>
    <n v="1"/>
    <s v="FCL"/>
    <s v="ONE"/>
    <d v="2025-07-08T00:00:00"/>
    <s v="ACAJUTLA, EL SALVADOR"/>
    <s v="ACAJUTLA, EL SALVADOR"/>
    <m/>
    <s v="X-PRESS MACHU PICCHU 25028S"/>
    <d v="2025-08-11T00:00:00"/>
    <m/>
    <n v="51"/>
    <n v="0"/>
    <s v="SI"/>
    <d v="2025-07-05T00:00:00"/>
    <n v="0"/>
    <s v="SI"/>
    <d v="2025-08-11T00:00:00"/>
    <d v="2025-08-11T00:00:00"/>
    <m/>
    <m/>
    <n v="-1"/>
    <n v="29"/>
    <m/>
    <m/>
    <m/>
    <n v="-1"/>
    <n v="29"/>
    <m/>
    <d v="2025-07-04T00:00:00"/>
    <s v=" Busan, Korea"/>
    <d v="2025-06-22T00:00:00"/>
    <s v="LAZARO CARDENAS, MEXICO"/>
    <d v="2025-07-08T00:00:00"/>
    <n v="35"/>
    <m/>
    <d v="2025-07-31T00:00:00"/>
    <m/>
    <s v="JENNIFER"/>
    <n v="-28"/>
  </r>
  <r>
    <m/>
    <s v="25OT1513"/>
    <x v="0"/>
    <s v="N/A"/>
    <m/>
    <m/>
    <m/>
    <x v="0"/>
    <s v="SYNSHA25SE051334"/>
    <s v="ONEYTPEF36921400"/>
    <s v="TCLU8469245 "/>
    <n v="1"/>
    <s v="FCL"/>
    <s v="ONE"/>
    <d v="2025-07-30T00:00:00"/>
    <s v="ACAJUTLA, EL SALVADOR"/>
    <s v="ACAJUTLA, EL SALVADOR"/>
    <m/>
    <s v="X-PRESS MACHU PICCHU 25028S"/>
    <d v="2025-08-11T00:00:00"/>
    <m/>
    <n v="73"/>
    <n v="0"/>
    <s v="SI"/>
    <d v="2025-07-23T00:00:00"/>
    <n v="0"/>
    <s v="SI"/>
    <d v="2025-08-11T00:00:00"/>
    <d v="2025-08-11T00:00:00"/>
    <m/>
    <m/>
    <n v="-1"/>
    <n v="29"/>
    <m/>
    <m/>
    <m/>
    <n v="-1"/>
    <n v="29"/>
    <m/>
    <d v="2025-07-24T00:00:00"/>
    <s v="KAOHSIUNG, TAIWAN"/>
    <d v="2025-05-31T00:00:00"/>
    <s v="LAZARO CARDENAS, MEXICO"/>
    <d v="2025-07-10T00:00:00"/>
    <n v="33"/>
    <m/>
    <d v="2025-07-31T00:00:00"/>
    <m/>
    <s v="JENNIFER"/>
    <n v="-28"/>
  </r>
  <r>
    <m/>
    <s v="25OT2009"/>
    <x v="0"/>
    <m/>
    <m/>
    <m/>
    <m/>
    <x v="3"/>
    <s v="SYNNGB25SE070870"/>
    <n v="255712097"/>
    <s v="UETU2633904 MRSU0313640"/>
    <n v="2"/>
    <s v="FCL"/>
    <s v="MAERSK"/>
    <m/>
    <s v="ACAJUTLA, EL SALVADOR"/>
    <s v="SAN SALVADOR, EL SALVADOR"/>
    <m/>
    <s v="SEASPAN LIMA 532S"/>
    <d v="2025-08-14T00:00:00"/>
    <m/>
    <n v="41"/>
    <n v="0"/>
    <s v="SI"/>
    <d v="2025-08-02T00:00:00"/>
    <n v="0"/>
    <s v="SI"/>
    <d v="2025-08-15T00:00:00"/>
    <d v="2025-08-15T00:00:00"/>
    <m/>
    <m/>
    <n v="1"/>
    <n v="0"/>
    <m/>
    <m/>
    <m/>
    <n v="1"/>
    <n v="0"/>
    <m/>
    <d v="2025-08-01T00:00:00"/>
    <s v="NINGBO, CHINA"/>
    <d v="2025-07-05T00:00:00"/>
    <s v="LAZARO CARDENAS, MEXICO"/>
    <d v="2025-08-02T00:00:00"/>
    <n v="13"/>
    <m/>
    <d v="2025-08-09T00:00:00"/>
    <m/>
    <s v="JENNIFER"/>
    <n v="-25"/>
  </r>
  <r>
    <m/>
    <s v="25OT135A"/>
    <x v="0"/>
    <m/>
    <m/>
    <m/>
    <m/>
    <x v="3"/>
    <m/>
    <s v="64 1057 4881"/>
    <s v="N/A"/>
    <m/>
    <s v="AIR"/>
    <s v="DHL EXPRESS"/>
    <m/>
    <s v="AEROPUERTO, EL SALVADOR"/>
    <s v="AEROPUERTO, EL SALVADOR"/>
    <m/>
    <m/>
    <d v="2025-08-14T00:00:00"/>
    <m/>
    <n v="4"/>
    <n v="0"/>
    <s v="SI"/>
    <d v="2025-08-11T00:00:00"/>
    <n v="0"/>
    <s v="SI"/>
    <d v="2025-08-15T00:00:00"/>
    <d v="2025-08-15T00:00:00"/>
    <m/>
    <m/>
    <n v="1"/>
    <n v="0"/>
    <m/>
    <m/>
    <m/>
    <n v="1"/>
    <n v="0"/>
    <m/>
    <d v="2025-08-08T00:00:00"/>
    <s v="TAOYUAN, CHINA"/>
    <d v="2025-08-11T00:00:00"/>
    <m/>
    <m/>
    <n v="45884"/>
    <m/>
    <m/>
    <m/>
    <s v="JENNIFER"/>
    <n v="-25"/>
  </r>
  <r>
    <m/>
    <s v="25OT2193 "/>
    <x v="0"/>
    <d v="2025-08-11T00:00:00"/>
    <m/>
    <m/>
    <m/>
    <x v="4"/>
    <s v="LPFE2507001406"/>
    <n v="256833043"/>
    <s v="MRKU5669986 CAAU7988993"/>
    <n v="2"/>
    <s v="FCL"/>
    <s v="MAERSK"/>
    <m/>
    <s v="SANTO TOMAS DE CASTILLA, GUATEMALA"/>
    <s v="SAN SALVADOR, EL SALVADOR"/>
    <m/>
    <s v="MAERSK NEWHAVEN 532S"/>
    <d v="2025-08-14T00:00:00"/>
    <m/>
    <n v="18"/>
    <n v="0"/>
    <s v="SI"/>
    <d v="2025-08-11T00:00:00"/>
    <n v="0"/>
    <s v="SI"/>
    <d v="2025-08-14T00:00:00"/>
    <d v="2025-08-14T00:00:00"/>
    <m/>
    <m/>
    <n v="1"/>
    <n v="0"/>
    <m/>
    <m/>
    <m/>
    <n v="1"/>
    <n v="0"/>
    <m/>
    <d v="2025-08-09T00:00:00"/>
    <s v="SAVANNAH"/>
    <d v="2025-07-28T00:00:00"/>
    <s v="N/A"/>
    <m/>
    <n v="45884"/>
    <m/>
    <m/>
    <m/>
    <s v="JENNIFER"/>
    <n v="-25"/>
  </r>
  <r>
    <m/>
    <s v="25OT1700"/>
    <x v="0"/>
    <m/>
    <m/>
    <s v="ENVIAR DOCS SEALES"/>
    <m/>
    <x v="5"/>
    <s v="SYNTAO25SE060132"/>
    <s v="QGD1926057"/>
    <s v="ECMU7708370"/>
    <n v="1"/>
    <s v="FCL"/>
    <s v="CMA CGM"/>
    <m/>
    <s v="ACAJUTLA, EL SALVADOR"/>
    <s v="ACAJUTLA, EL SALVADOR"/>
    <m/>
    <s v="MAGDALENA SCHULTE 0M30QN1MA"/>
    <d v="2025-08-16T00:00:00"/>
    <m/>
    <n v="56"/>
    <n v="0"/>
    <s v="SI"/>
    <d v="2025-08-02T00:00:00"/>
    <n v="0"/>
    <s v="SI"/>
    <d v="2025-08-14T00:00:00"/>
    <m/>
    <m/>
    <m/>
    <n v="1"/>
    <n v="0"/>
    <m/>
    <m/>
    <m/>
    <n v="1"/>
    <n v="0"/>
    <m/>
    <m/>
    <s v="QINGDAO, CHINA"/>
    <d v="2025-06-22T00:00:00"/>
    <s v="LAZARO CARDENAS, MEXICO"/>
    <d v="2025-07-16T00:00:00"/>
    <n v="32"/>
    <m/>
    <m/>
    <m/>
    <s v="MARCELA"/>
    <n v="-23"/>
  </r>
  <r>
    <m/>
    <s v="25OT1648"/>
    <x v="0"/>
    <s v="N/A"/>
    <m/>
    <m/>
    <m/>
    <x v="0"/>
    <s v="SYNSHA25SE061386 "/>
    <s v="CHN2345793"/>
    <s v="TCLU4965490 "/>
    <n v="1"/>
    <s v="FCL"/>
    <s v="CMA CGM"/>
    <d v="2025-06-10T00:00:00"/>
    <s v="ACAJUTLA, EL SALVADOR"/>
    <s v="ACAJUTLA, EL SALVADOR"/>
    <d v="2025-08-18T00:00:00"/>
    <s v="MAGDALENA SCHULTE 0M30QN1MA"/>
    <d v="2025-08-16T00:00:00"/>
    <d v="2025-08-17T00:00:00"/>
    <n v="64"/>
    <n v="0"/>
    <s v="SI"/>
    <d v="2025-07-23T00:00:00"/>
    <n v="0"/>
    <s v="SI"/>
    <d v="2025-08-14T00:00:00"/>
    <d v="2025-08-14T00:00:00"/>
    <n v="5"/>
    <d v="2025-08-21T00:00:00"/>
    <n v="1"/>
    <n v="0"/>
    <m/>
    <m/>
    <m/>
    <n v="-1"/>
    <n v="23"/>
    <m/>
    <d v="2025-07-04T00:00:00"/>
    <s v="SHANGHAI, CHINA"/>
    <d v="2025-06-14T00:00:00"/>
    <s v="LAZARO CARDENAS, MEXICO"/>
    <d v="2025-07-16T00:00:00"/>
    <n v="32"/>
    <m/>
    <d v="2025-08-01T00:00:00"/>
    <m/>
    <s v="JENNIFER"/>
    <n v="-23"/>
  </r>
  <r>
    <m/>
    <s v="25OT1981"/>
    <x v="0"/>
    <m/>
    <m/>
    <m/>
    <m/>
    <x v="3"/>
    <s v="WLC50623131"/>
    <s v="ONEYNBOF83938900"/>
    <s v="TCNU5515750 FFAU1453750 ONEU5955977 UETU5835600"/>
    <n v="4"/>
    <s v="FCL"/>
    <s v="ONE"/>
    <m/>
    <s v="ACAJUTLA, EL SALVADOR"/>
    <s v="SAN SALVADOR, EL SALVADOR"/>
    <m/>
    <s v="MAGDALENA SCHULTE 0M30PS1MA"/>
    <d v="2025-08-16T00:00:00"/>
    <m/>
    <n v="40"/>
    <n v="0"/>
    <s v="SI"/>
    <d v="2025-08-02T00:00:00"/>
    <n v="0"/>
    <s v="SI"/>
    <d v="2025-08-18T00:00:00"/>
    <d v="2025-08-18T00:00:00"/>
    <m/>
    <m/>
    <n v="-1"/>
    <n v="24"/>
    <m/>
    <m/>
    <m/>
    <n v="-1"/>
    <n v="24"/>
    <m/>
    <d v="2025-08-01T00:00:00"/>
    <s v="NINGBO, CHINA"/>
    <d v="2025-07-08T00:00:00"/>
    <s v="LAZARO CARDENAS, MEXICO"/>
    <d v="2025-07-29T00:00:00"/>
    <n v="19"/>
    <m/>
    <m/>
    <m/>
    <s v="JENNIFER"/>
    <n v="-23"/>
  </r>
  <r>
    <m/>
    <s v="25OT1751 "/>
    <x v="0"/>
    <s v="N/A"/>
    <m/>
    <m/>
    <m/>
    <x v="2"/>
    <s v="SYNNGB25SE061804"/>
    <s v="ONEYNB5BCN118500"/>
    <s v="ONEU0596920 ONEU0854752 ONEU5951040"/>
    <n v="3"/>
    <s v="FCL"/>
    <s v="ONE"/>
    <d v="2025-07-28T00:00:00"/>
    <s v="ACAJUTLA, EL SALVADOR"/>
    <s v="ACAJUTLA, EL SALVADOR"/>
    <m/>
    <s v="MAGDALENA SCHULTE 0M30PS1MA"/>
    <d v="2025-08-16T00:00:00"/>
    <m/>
    <n v="54"/>
    <n v="0"/>
    <s v="SI"/>
    <d v="2025-07-28T00:00:00"/>
    <n v="0"/>
    <s v="SI"/>
    <d v="2025-08-14T00:00:00"/>
    <d v="2025-08-14T00:00:00"/>
    <n v="5"/>
    <d v="2025-08-22T00:00:00"/>
    <n v="-1"/>
    <n v="2"/>
    <m/>
    <m/>
    <m/>
    <n v="-1"/>
    <n v="24"/>
    <m/>
    <d v="2025-07-25T00:00:00"/>
    <s v="NINGBO"/>
    <d v="2025-06-24T00:00:00"/>
    <s v="LAZARO CARDENAS, MEXICO"/>
    <d v="2025-07-17T00:00:00"/>
    <n v="31"/>
    <m/>
    <d v="2025-08-08T00:00:00"/>
    <m/>
    <s v="JENNIFER"/>
    <n v="-23"/>
  </r>
  <r>
    <m/>
    <s v="25OT1703"/>
    <x v="1"/>
    <m/>
    <m/>
    <s v="ENVIAR DOCS SEALES"/>
    <m/>
    <x v="5"/>
    <s v="SYNTSN25SE060859"/>
    <s v="TJN0693163"/>
    <s v="UETU7356865, CAIU9658416"/>
    <n v="2"/>
    <s v="FCL"/>
    <s v="CMA CGM"/>
    <m/>
    <s v="ACAJUTLA, EL SALVADOR"/>
    <s v="ACAJUTLA, EL SALVADOR"/>
    <m/>
    <s v="NOMADIC HJELLESTAD 12S2OR"/>
    <d v="2025-08-24T00:00:00"/>
    <m/>
    <n v="59"/>
    <n v="0"/>
    <s v="SI"/>
    <d v="2025-08-02T00:00:00"/>
    <n v="0"/>
    <s v="SI"/>
    <d v="2025-08-20T00:00:00"/>
    <d v="2025-08-21T00:00:00"/>
    <m/>
    <m/>
    <n v="1"/>
    <n v="0"/>
    <m/>
    <m/>
    <m/>
    <n v="1"/>
    <n v="0"/>
    <m/>
    <m/>
    <s v="XINGANG, CHINA"/>
    <d v="2025-06-27T00:00:00"/>
    <s v="LAZARO CARDENAS, MEXICO"/>
    <d v="2025-07-23T00:00:00"/>
    <n v="33"/>
    <m/>
    <m/>
    <m/>
    <s v="MARCELA"/>
    <n v="-15"/>
  </r>
  <r>
    <m/>
    <s v="25OT1749  "/>
    <x v="0"/>
    <s v="N/A"/>
    <m/>
    <m/>
    <m/>
    <x v="2"/>
    <s v="WSLPGU2506201"/>
    <s v="AYN1251864"/>
    <s v="TXGU4346582"/>
    <n v="1"/>
    <s v="FCL"/>
    <s v="CMA CGM"/>
    <d v="2025-06-26T00:00:00"/>
    <s v="ACAJUTLA, EL SALVADOR"/>
    <s v="ACAJUTLA, EL SALVADOR"/>
    <m/>
    <s v="NOMADIC HJELLESTAD 12S2OR"/>
    <d v="2025-08-24T00:00:00"/>
    <m/>
    <n v="60"/>
    <n v="0"/>
    <s v="SI"/>
    <d v="2025-07-28T00:00:00"/>
    <n v="0"/>
    <s v="SI"/>
    <d v="2025-08-15T00:00:00"/>
    <d v="2025-08-15T00:00:00"/>
    <n v="5"/>
    <d v="2025-08-25T00:00:00"/>
    <n v="1"/>
    <n v="0"/>
    <m/>
    <m/>
    <m/>
    <n v="1"/>
    <n v="0"/>
    <m/>
    <d v="2025-07-25T00:00:00"/>
    <s v="Pasir Gudang"/>
    <d v="2025-06-26T00:00:00"/>
    <s v="LAZARO CARDENAS, MEXICO"/>
    <d v="2025-07-30T00:00:00"/>
    <n v="26"/>
    <m/>
    <d v="2025-08-07T00:00:00"/>
    <m/>
    <s v="JENNIFER"/>
    <n v="-15"/>
  </r>
  <r>
    <s v="HACER NOTA DE CREDITO POR LA DIFERENCIA"/>
    <s v="25OT1709"/>
    <x v="1"/>
    <d v="2025-07-30T00:00:00"/>
    <s v="N/A"/>
    <m/>
    <m/>
    <x v="0"/>
    <s v="SYNNKG25SE060016"/>
    <s v="JNG0255165"/>
    <s v="CMAU6155025"/>
    <n v="1"/>
    <s v="FCL"/>
    <s v="CMA CGM"/>
    <d v="2025-06-06T00:00:00"/>
    <s v="ACAJUTLA, EL SALVADOR"/>
    <s v="ACAJUTLA, EL SALVADOR"/>
    <m/>
    <s v="NOMADIC HJELLESTAD 12S2OR"/>
    <d v="2025-08-24T00:00:00"/>
    <m/>
    <n v="80"/>
    <n v="0"/>
    <s v="SI"/>
    <d v="2025-07-29T00:00:00"/>
    <n v="0"/>
    <s v="SI"/>
    <d v="2025-08-15T00:00:00"/>
    <d v="2025-08-15T00:00:00"/>
    <n v="5"/>
    <d v="2025-08-27T00:00:00"/>
    <n v="1"/>
    <n v="0"/>
    <m/>
    <m/>
    <m/>
    <n v="1"/>
    <n v="0"/>
    <m/>
    <d v="2025-07-07T00:00:00"/>
    <s v="CHANGZHOU, CHINA"/>
    <d v="2025-06-06T00:00:00"/>
    <s v="LAZARO CARDENAS, MEXICO"/>
    <d v="2025-07-23T00:00:00"/>
    <n v="33"/>
    <m/>
    <d v="2025-08-07T00:00:00"/>
    <m/>
    <s v="JENNIFER"/>
    <n v="-15"/>
  </r>
  <r>
    <m/>
    <s v="25OT1654"/>
    <x v="0"/>
    <s v="N/A"/>
    <m/>
    <m/>
    <m/>
    <x v="0"/>
    <s v="SYNSHA25SE060308"/>
    <s v="TWN0963300"/>
    <s v="SEKU5812783"/>
    <n v="1"/>
    <s v="FCL"/>
    <s v="CMA CGM"/>
    <d v="2025-06-06T00:00:00"/>
    <s v="ACAJUTLA, EL SALVADOR"/>
    <s v="ACAJUTLA, EL SALVADOR"/>
    <m/>
    <s v="NOMADIC HJELLESTAD 12S2OR"/>
    <d v="2025-08-24T00:00:00"/>
    <m/>
    <n v="75"/>
    <n v="0"/>
    <s v="SI"/>
    <d v="2025-07-29T00:00:00"/>
    <n v="0"/>
    <s v="SI"/>
    <d v="2025-08-15T00:00:00"/>
    <d v="2025-08-15T00:00:00"/>
    <n v="5"/>
    <d v="2025-08-27T00:00:00"/>
    <n v="1"/>
    <n v="0"/>
    <m/>
    <m/>
    <m/>
    <n v="1"/>
    <n v="0"/>
    <m/>
    <d v="2025-07-07T00:00:00"/>
    <s v="KAOHSIUNG, TAIWAN"/>
    <d v="2025-06-11T00:00:00"/>
    <s v="LAZARO CARDENAS, MEXICO"/>
    <d v="2025-07-23T00:00:00"/>
    <n v="33"/>
    <m/>
    <d v="2025-08-07T00:00:00"/>
    <m/>
    <s v="JENNIFER"/>
    <n v="-15"/>
  </r>
  <r>
    <s v="PDT DE BOLETA DE VACIO"/>
    <s v="25OT1996"/>
    <x v="1"/>
    <d v="2025-07-15T00:00:00"/>
    <m/>
    <m/>
    <m/>
    <x v="4"/>
    <s v="FARGYE251414 "/>
    <s v="MEDUF9321029"/>
    <s v="MSMU5343082 MEDU4500882 MSMU8450206 "/>
    <n v="3"/>
    <s v="FCL"/>
    <s v="MSC"/>
    <m/>
    <s v="ACAJUTLA, EL SALVADOR"/>
    <s v="ACAJUTLA, EL SALVADOR"/>
    <m/>
    <s v="MSC DAR ES SALAAM III LO526A"/>
    <d v="2025-08-30T00:00:00"/>
    <m/>
    <n v="63"/>
    <n v="0"/>
    <s v="SI"/>
    <d v="2025-07-14T00:00:00"/>
    <n v="0"/>
    <s v="SI"/>
    <d v="2025-07-27T00:00:00"/>
    <m/>
    <n v="5"/>
    <m/>
    <n v="1"/>
    <n v="0"/>
    <m/>
    <m/>
    <m/>
    <n v="1"/>
    <n v="0"/>
    <m/>
    <m/>
    <s v="GUAYAQUIL, ECUADOR"/>
    <d v="2025-06-29T00:00:00"/>
    <s v="RODMAN, PANAMA"/>
    <d v="2025-07-11T00:00:00"/>
    <n v="51"/>
    <m/>
    <m/>
    <m/>
    <s v="JENNIFER"/>
    <n v="-9"/>
  </r>
  <r>
    <m/>
    <s v="25OT2016  "/>
    <x v="0"/>
    <s v="N/A"/>
    <m/>
    <m/>
    <m/>
    <x v="0"/>
    <s v="SYNSHA25SE070517"/>
    <s v="ONEYTPEF52704800"/>
    <s v="TCNU7093844"/>
    <n v="1"/>
    <s v="FCL"/>
    <s v="ONE"/>
    <d v="2025-07-31T00:00:00"/>
    <s v="ACAJUTLA, EL SALVADOR"/>
    <s v="ACAJUTLA, EL SALVADOR"/>
    <m/>
    <s v="X-PRESS MACHU PICCHU 25031S"/>
    <d v="2025-08-30T00:00:00"/>
    <d v="2025-08-30T00:00:00"/>
    <n v="48"/>
    <n v="0"/>
    <s v="SI"/>
    <d v="2025-07-31T00:00:00"/>
    <n v="0"/>
    <s v="SI"/>
    <d v="2025-08-25T00:00:00"/>
    <d v="2025-08-25T00:00:00"/>
    <n v="5"/>
    <d v="2025-09-02T00:00:00"/>
    <n v="1"/>
    <n v="0"/>
    <s v="NO"/>
    <n v="14"/>
    <d v="2025-09-03T00:00:00"/>
    <n v="1"/>
    <n v="0"/>
    <m/>
    <d v="2025-07-29T00:00:00"/>
    <s v="KEELUNG PT, TAIWAN"/>
    <d v="2025-07-14T00:00:00"/>
    <s v="LAZARO CARDENAS, MEXICO"/>
    <d v="2025-08-12T00:00:00"/>
    <n v="19"/>
    <m/>
    <m/>
    <m/>
    <s v="JENNIFER"/>
    <n v="-9"/>
  </r>
  <r>
    <s v="PDT ATRAQUE"/>
    <s v="25OT1753"/>
    <x v="2"/>
    <s v="N/A"/>
    <d v="2025-08-18T00:00:00"/>
    <d v="2025-08-12T00:00:00"/>
    <s v="SI"/>
    <x v="6"/>
    <s v="SYNSHA25SE070295"/>
    <s v="CHN2458701"/>
    <s v="SEKU5748133"/>
    <n v="1"/>
    <s v="FCL"/>
    <s v="CMA CGM"/>
    <d v="2025-08-07T00:00:00"/>
    <s v="ACAJUTLA, EL SALVADOR"/>
    <s v="ACAJUTLA, EL SALVADOR"/>
    <m/>
    <s v="MAGDALENA SCHULTE 0M30WN1MA"/>
    <d v="2025-09-06T00:00:00"/>
    <m/>
    <n v="62"/>
    <n v="0"/>
    <s v="SI"/>
    <d v="2025-08-01T00:00:00"/>
    <n v="0"/>
    <s v="SI"/>
    <d v="2025-08-12T00:00:00"/>
    <d v="2025-08-12T00:00:00"/>
    <m/>
    <m/>
    <n v="1"/>
    <n v="0"/>
    <m/>
    <m/>
    <m/>
    <n v="1"/>
    <n v="0"/>
    <m/>
    <d v="2025-07-22T00:00:00"/>
    <s v="SHANGHAI, CHINA"/>
    <d v="2025-07-07T00:00:00"/>
    <s v="LAZARO CARDENAS, MEXICO"/>
    <d v="2025-08-06T00:00:00"/>
    <n v="32"/>
    <m/>
    <d v="2025-08-07T00:00:00"/>
    <s v="PDT"/>
    <s v="JENNIFER"/>
    <n v="-2"/>
  </r>
  <r>
    <s v="PDT ATRAQUE"/>
    <s v="25OT1976 "/>
    <x v="2"/>
    <d v="2025-08-22T00:00:00"/>
    <s v="N/A"/>
    <d v="2025-09-02T00:00:00"/>
    <s v="SI"/>
    <x v="6"/>
    <s v="SYNSHA25SE070785"/>
    <s v="CHN2485934"/>
    <s v="CSOU1252398, FCIU4533585"/>
    <n v="2"/>
    <s v="FCL"/>
    <s v="CMA CGM"/>
    <m/>
    <s v="ACAJUTLA, EL SALVADOR"/>
    <s v="ACAJUTLA, EL SALVADOR"/>
    <m/>
    <s v="MAGDALENA SCHULTE 0M30WN1MA"/>
    <d v="2025-09-06T00:00:00"/>
    <m/>
    <n v="48"/>
    <n v="0"/>
    <s v="SI"/>
    <d v="2025-08-09T00:00:00"/>
    <n v="0"/>
    <s v="SI"/>
    <d v="2025-09-01T00:00:00"/>
    <d v="2025-09-01T00:00:00"/>
    <m/>
    <m/>
    <n v="1"/>
    <n v="0"/>
    <m/>
    <m/>
    <m/>
    <n v="1"/>
    <n v="0"/>
    <m/>
    <d v="2025-07-24T00:00:00"/>
    <s v="QINGDAO, CHINA"/>
    <d v="2025-07-21T00:00:00"/>
    <s v="LAZARO CARDENAS, MEXICO"/>
    <d v="2025-08-14T00:00:00"/>
    <n v="24"/>
    <m/>
    <d v="2025-08-19T00:00:00"/>
    <s v="PDT"/>
    <s v="JENNIFER"/>
    <n v="-2"/>
  </r>
  <r>
    <s v="PDT ATRAQUE"/>
    <s v="25OT1977 "/>
    <x v="2"/>
    <d v="2025-08-22T00:00:00"/>
    <s v="N/A"/>
    <d v="2025-09-02T00:00:00"/>
    <s v="SI"/>
    <x v="6"/>
    <s v="SYNSHA25SE070784"/>
    <s v="CHN2485880"/>
    <s v="CMAU3161678"/>
    <n v="1"/>
    <s v="FCL"/>
    <s v="CMA CGM"/>
    <m/>
    <s v="ACAJUTLA, EL SALVADOR"/>
    <s v="ACAJUTLA, EL SALVADOR"/>
    <m/>
    <s v="MAGDALENA SCHULTE 0M30WN1MA"/>
    <d v="2025-09-06T00:00:00"/>
    <m/>
    <n v="48"/>
    <n v="0"/>
    <s v="SI"/>
    <d v="2025-08-09T00:00:00"/>
    <n v="0"/>
    <s v="SI"/>
    <d v="2025-09-01T00:00:00"/>
    <d v="2025-09-02T00:00:00"/>
    <m/>
    <m/>
    <n v="1"/>
    <n v="0"/>
    <m/>
    <m/>
    <m/>
    <n v="1"/>
    <n v="0"/>
    <m/>
    <d v="2025-07-24T00:00:00"/>
    <s v="QINGDAO, CHINA"/>
    <d v="2025-07-21T00:00:00"/>
    <s v="LAZARO CARDENAS, MEXICO"/>
    <d v="2025-08-14T00:00:00"/>
    <n v="24"/>
    <m/>
    <d v="2025-08-19T00:00:00"/>
    <s v="PDT"/>
    <s v="JENNIFER"/>
    <n v="-2"/>
  </r>
  <r>
    <s v="PDT ATRAQUE"/>
    <s v="25OT1604 "/>
    <x v="2"/>
    <d v="2025-08-27T00:00:00"/>
    <s v="N/A"/>
    <d v="2025-09-02T00:00:00"/>
    <s v="SI"/>
    <x v="6"/>
    <s v="SYNNGB25SE07042901"/>
    <s v="NGP2576493"/>
    <s v="CAAU2854311"/>
    <n v="1"/>
    <s v="FCL"/>
    <s v="CMA CGM"/>
    <m/>
    <s v="ACAJUTLA, EL SALVADOR"/>
    <s v="ACAJUTLA, EL SALVADOR"/>
    <m/>
    <s v="MAGDALENA SCHULTE 0M30WN1MA"/>
    <d v="2025-09-06T00:00:00"/>
    <m/>
    <n v="57"/>
    <n v="0"/>
    <s v="SI"/>
    <d v="2025-08-11T00:00:00"/>
    <n v="0"/>
    <s v="SI"/>
    <n v="45901"/>
    <d v="2025-09-01T00:00:00"/>
    <m/>
    <m/>
    <n v="1"/>
    <n v="0"/>
    <m/>
    <m/>
    <m/>
    <n v="1"/>
    <n v="0"/>
    <m/>
    <d v="2025-07-28T00:00:00"/>
    <s v="NINGBO, CHINA"/>
    <d v="2025-07-12T00:00:00"/>
    <s v="LAZARO CARDENAS, MEXICO"/>
    <d v="2025-08-14T00:00:00"/>
    <n v="24"/>
    <m/>
    <m/>
    <m/>
    <s v="JENNIFER"/>
    <n v="-2"/>
  </r>
  <r>
    <s v="PDT ATRAQUE"/>
    <s v="25OT2125 "/>
    <x v="2"/>
    <s v="N/A"/>
    <d v="2025-09-02T00:00:00"/>
    <d v="2025-09-02T00:00:00"/>
    <s v="SI"/>
    <x v="6"/>
    <s v="SYNTAO25SE070344"/>
    <s v="QGD2038128"/>
    <s v="CAIU7380120, SEKU1892271"/>
    <n v="2"/>
    <s v="FCL"/>
    <s v="CMA CGM"/>
    <m/>
    <s v="ACAJUTLA, EL SALVADOR"/>
    <s v="ACAJUTLA, EL SALVADOR"/>
    <m/>
    <s v="MAGDALENA SCHULTE 0M30WN1MA"/>
    <d v="2025-09-06T00:00:00"/>
    <m/>
    <n v="48"/>
    <n v="0"/>
    <s v="SI"/>
    <d v="2025-08-11T00:00:00"/>
    <n v="0"/>
    <s v="SI"/>
    <n v="45901"/>
    <d v="2025-09-01T00:00:00"/>
    <m/>
    <m/>
    <n v="1"/>
    <n v="0"/>
    <m/>
    <m/>
    <m/>
    <n v="1"/>
    <n v="0"/>
    <m/>
    <d v="2025-07-29T00:00:00"/>
    <s v="QINGDAO"/>
    <d v="2025-07-21T00:00:00"/>
    <s v="LAZARO CARDENAS, MEXICO"/>
    <d v="2025-08-14T00:00:00"/>
    <n v="24"/>
    <m/>
    <m/>
    <m/>
    <s v="JENNIFER"/>
    <n v="-2"/>
  </r>
  <r>
    <s v="PDT FACTURAR"/>
    <s v="25OT1862 "/>
    <x v="3"/>
    <s v="N/A"/>
    <s v="PDT"/>
    <m/>
    <m/>
    <x v="6"/>
    <s v="SYNHKG25SE070009"/>
    <s v="HKA2547461"/>
    <s v="UETU7753327"/>
    <n v="1"/>
    <s v="LCL"/>
    <s v="CMA CGM"/>
    <m/>
    <s v="ACAJUTLA, EL SALVADOR"/>
    <s v="ACAJUTLA, EL SALVADOR"/>
    <m/>
    <s v="MAGDALENA SCHULTE  0M312N1MA "/>
    <d v="2025-09-16T00:00:00"/>
    <m/>
    <n v="64"/>
    <n v="0"/>
    <s v="SI"/>
    <d v="2025-08-11T00:00:00"/>
    <n v="1"/>
    <m/>
    <m/>
    <m/>
    <n v="7"/>
    <m/>
    <n v="1"/>
    <n v="0"/>
    <m/>
    <n v="14"/>
    <m/>
    <n v="1"/>
    <n v="0"/>
    <m/>
    <d v="2025-07-25T00:00:00"/>
    <s v="HONG KONG, CHINA"/>
    <d v="2025-07-15T00:00:00"/>
    <s v="LAZARO CARDENAS, MEXICO"/>
    <d v="2025-09-06T00:00:00"/>
    <n v="11"/>
    <m/>
    <m/>
    <m/>
    <s v="JENNIFER"/>
    <n v="8"/>
  </r>
  <r>
    <s v="PDT ENVIO DE MANIFIESTOS A NAVIERA"/>
    <s v="25OT2167 "/>
    <x v="3"/>
    <d v="2025-09-01T00:00:00"/>
    <s v="N/A"/>
    <m/>
    <m/>
    <x v="6"/>
    <s v="BKKWSL2500339"/>
    <s v="THD1392607"/>
    <s v="TCKU3562574"/>
    <n v="1"/>
    <s v="FCL"/>
    <s v="CMA CGM"/>
    <m/>
    <s v="ACAJUTLA, EL SALVADOR"/>
    <s v="ACAJUTLA, EL SALVADOR"/>
    <m/>
    <s v="MAGDALENA SCHULTE 0M312N1MA"/>
    <d v="2025-09-16T00:00:00"/>
    <m/>
    <n v="25"/>
    <n v="0"/>
    <s v="SI"/>
    <d v="2025-09-02T00:00:00"/>
    <n v="1"/>
    <m/>
    <m/>
    <m/>
    <n v="7"/>
    <m/>
    <n v="1"/>
    <n v="0"/>
    <m/>
    <n v="14"/>
    <m/>
    <n v="1"/>
    <n v="0"/>
    <m/>
    <d v="2025-08-25T00:00:00"/>
    <s v="BUSAN KOREA"/>
    <d v="2025-08-23T00:00:00"/>
    <s v="LAZARO CARDENAS, MEXICO"/>
    <d v="2025-09-10T00:00:00"/>
    <n v="7"/>
    <m/>
    <m/>
    <m/>
    <s v="JENNIFER"/>
    <n v="8"/>
  </r>
  <r>
    <s v="CONSOLIDADO 33"/>
    <s v="25OT2089 "/>
    <x v="3"/>
    <s v="N/A"/>
    <s v="PDT"/>
    <m/>
    <m/>
    <x v="6"/>
    <s v="SYNSHA25SE080263"/>
    <s v="CHN2555033"/>
    <s v="BEAU4657156"/>
    <n v="1"/>
    <s v="FCL"/>
    <s v="CMA CGM"/>
    <m/>
    <s v="ACAJUTLA, EL SALVADOR"/>
    <s v="ACAJUTLA, EL SALVADOR"/>
    <m/>
    <s v="MAGDALENA SCHULTE 0M312N1MA"/>
    <d v="2025-09-16T00:00:00"/>
    <m/>
    <n v="42"/>
    <n v="0"/>
    <s v="SI"/>
    <d v="2025-09-03T00:00:00"/>
    <n v="1"/>
    <m/>
    <m/>
    <m/>
    <n v="7"/>
    <m/>
    <n v="1"/>
    <n v="0"/>
    <m/>
    <n v="14"/>
    <m/>
    <n v="1"/>
    <n v="0"/>
    <m/>
    <d v="2025-08-23T00:00:00"/>
    <s v="SHANGHAI, CHINA"/>
    <d v="2025-08-06T00:00:00"/>
    <s v="LAZARO CARDENAS, MEXICO"/>
    <d v="2025-09-10T00:00:00"/>
    <n v="7"/>
    <m/>
    <m/>
    <m/>
    <s v="JENNIFER"/>
    <n v="8"/>
  </r>
  <r>
    <s v="PDT FACTURAR"/>
    <s v="25OT1657"/>
    <x v="3"/>
    <s v="N/A"/>
    <s v="PDT"/>
    <m/>
    <m/>
    <x v="6"/>
    <s v="SYNHKG25SE070001"/>
    <s v="HKA2545394"/>
    <s v="UETU6964407"/>
    <n v="1"/>
    <s v="FCL"/>
    <s v="CMA CGM"/>
    <m/>
    <s v="ACAJUTLA, EL SALVADOR"/>
    <s v="ACAJUTLA, EL SALVADOR"/>
    <m/>
    <s v="X-PRESS MACHU PICCHU 0M310N1MA"/>
    <d v="2025-09-19T00:00:00"/>
    <m/>
    <n v="77"/>
    <n v="0"/>
    <s v="SI"/>
    <d v="2025-08-11T00:00:00"/>
    <n v="1"/>
    <m/>
    <m/>
    <m/>
    <n v="7"/>
    <m/>
    <n v="1"/>
    <n v="0"/>
    <m/>
    <n v="14"/>
    <m/>
    <n v="1"/>
    <n v="0"/>
    <m/>
    <d v="2025-07-19T00:00:00"/>
    <s v="SHANGHAI, CHINA"/>
    <d v="2025-07-05T00:00:00"/>
    <s v="LAZARO CARDENAS, MEXICO"/>
    <d v="2025-08-20T00:00:00"/>
    <n v="31"/>
    <m/>
    <m/>
    <m/>
    <s v="JENNIFER"/>
    <n v="11"/>
  </r>
  <r>
    <s v="PDT FACTURAR"/>
    <s v="25OT2165 "/>
    <x v="3"/>
    <s v="N/A"/>
    <s v="PDT"/>
    <m/>
    <m/>
    <x v="6"/>
    <s v="SYNCAN25SE070578"/>
    <s v="SHZ7424295"/>
    <s v="CMAU7093714"/>
    <n v="1"/>
    <s v="FCL"/>
    <s v="CMA CGM"/>
    <m/>
    <s v="ACAJUTLA, EL SALVADOR"/>
    <s v="ACAJUTLA, EL SALVADOR"/>
    <m/>
    <s v="X-PRESS MACHU PICCHU 0M310N1MA"/>
    <d v="2025-09-19T00:00:00"/>
    <m/>
    <n v="57"/>
    <n v="0"/>
    <s v="SI"/>
    <d v="2025-08-11T00:00:00"/>
    <n v="1"/>
    <m/>
    <m/>
    <m/>
    <n v="7"/>
    <m/>
    <n v="1"/>
    <n v="0"/>
    <m/>
    <n v="14"/>
    <m/>
    <n v="1"/>
    <n v="0"/>
    <m/>
    <d v="2025-07-30T00:00:00"/>
    <s v="SHEKOU"/>
    <d v="2025-07-25T00:00:00"/>
    <s v="LAZARO CARDENAS, MEXICO"/>
    <d v="2025-09-03T00:00:00"/>
    <n v="17"/>
    <m/>
    <m/>
    <m/>
    <s v="JENNIFER"/>
    <n v="11"/>
  </r>
  <r>
    <s v="PDT FACTURAR"/>
    <s v="25OT2144 "/>
    <x v="3"/>
    <s v="N/A"/>
    <d v="2025-08-21T00:00:00"/>
    <m/>
    <m/>
    <x v="6"/>
    <s v="SYNCAN25SE070319"/>
    <s v="SHZ7397518"/>
    <s v="TGHU9631180"/>
    <n v="1"/>
    <s v="FCL"/>
    <s v="CMA CGM"/>
    <m/>
    <s v="ACAJUTLA, EL SALVADOR"/>
    <s v="ACAJUTLA, EL SALVADOR"/>
    <m/>
    <s v="X-PRESS MACHU PICCHU 0M310N1MA"/>
    <d v="2025-09-19T00:00:00"/>
    <m/>
    <n v="68"/>
    <n v="0"/>
    <s v="SI"/>
    <d v="2025-08-11T00:00:00"/>
    <n v="1"/>
    <m/>
    <m/>
    <m/>
    <n v="7"/>
    <m/>
    <n v="1"/>
    <n v="0"/>
    <m/>
    <n v="14"/>
    <m/>
    <n v="1"/>
    <n v="0"/>
    <m/>
    <d v="2025-07-25T00:00:00"/>
    <s v="SHEKOU, CHINA"/>
    <d v="2025-07-14T00:00:00"/>
    <s v="LAZARO CARDENAS, MEXICO"/>
    <d v="2025-08-20T00:00:00"/>
    <n v="31"/>
    <m/>
    <m/>
    <m/>
    <s v="JENNIFER"/>
    <n v="11"/>
  </r>
  <r>
    <s v="PDT FACTURAR"/>
    <s v="25OT2067 "/>
    <x v="3"/>
    <s v="N/A"/>
    <s v="PDT"/>
    <m/>
    <m/>
    <x v="6"/>
    <s v="SYNSHA25SE070731"/>
    <s v="TWN0973141"/>
    <s v="TCNU1688188"/>
    <n v="1"/>
    <s v="FCL"/>
    <s v="CMA CGM"/>
    <m/>
    <s v="ACAJUTLA, EL SALVADOR"/>
    <s v="ACAJUTLA, EL SALVADOR"/>
    <m/>
    <s v="X-PRESS MACHU PICCHU 0M310N1MA"/>
    <d v="2025-09-19T00:00:00"/>
    <m/>
    <n v="65"/>
    <n v="0"/>
    <s v="SI"/>
    <d v="2025-08-11T00:00:00"/>
    <n v="1"/>
    <m/>
    <m/>
    <m/>
    <n v="7"/>
    <m/>
    <n v="1"/>
    <n v="0"/>
    <m/>
    <n v="14"/>
    <m/>
    <n v="1"/>
    <n v="0"/>
    <m/>
    <d v="2025-07-28T00:00:00"/>
    <s v="KAOHSIUNG"/>
    <d v="2025-07-17T00:00:00"/>
    <s v="LAZARO CARDENAS, MEXICO"/>
    <d v="2025-08-20T00:00:00"/>
    <n v="31"/>
    <m/>
    <m/>
    <m/>
    <s v="JENNIFER"/>
    <n v="11"/>
  </r>
  <r>
    <s v="PDT FACTURAR"/>
    <s v="25OT2217 "/>
    <x v="3"/>
    <d v="2025-09-05T00:00:00"/>
    <s v="N/A"/>
    <m/>
    <m/>
    <x v="6"/>
    <s v="SYNTSN25SE080008"/>
    <s v="TJN0718520"/>
    <s v="ECMU4975434 ECMU7123811"/>
    <n v="2"/>
    <s v="FCL"/>
    <s v="CMA CGM"/>
    <m/>
    <s v="ACAJUTLA, EL SALVADOR"/>
    <s v="SAN SALVADOR, EL SALVADOR"/>
    <m/>
    <s v="X-PRESS MACHU PICCHU 0M310N1MA"/>
    <d v="2025-09-19T00:00:00"/>
    <m/>
    <n v="42"/>
    <n v="0"/>
    <s v="SI"/>
    <d v="2025-09-02T00:00:00"/>
    <n v="1"/>
    <m/>
    <m/>
    <m/>
    <n v="7"/>
    <m/>
    <n v="1"/>
    <n v="0"/>
    <m/>
    <n v="14"/>
    <m/>
    <n v="1"/>
    <n v="0"/>
    <m/>
    <d v="2025-08-27T00:00:00"/>
    <s v="TIANJIN XINGANG"/>
    <d v="2025-08-09T00:00:00"/>
    <s v="LAZARO CARDENAS, MEXICO"/>
    <d v="2025-09-03T00:00:00"/>
    <n v="17"/>
    <m/>
    <m/>
    <m/>
    <s v="JENNIFER"/>
    <n v="11"/>
  </r>
  <r>
    <s v="PDT FACTURAR"/>
    <s v="25OT2163"/>
    <x v="3"/>
    <s v="N/A"/>
    <s v="PDT"/>
    <m/>
    <m/>
    <x v="6"/>
    <s v="SYNNGB25SE071369"/>
    <s v="ONEYNB5BCT618700"/>
    <s v="ONEU1404683"/>
    <n v="1"/>
    <s v="FCL"/>
    <s v="ONE"/>
    <m/>
    <s v="ACAJUTLA, EL SALVADOR"/>
    <s v="ACAJUTLA, EL SALVADOR"/>
    <m/>
    <s v="X-PRESS MACHU PICCHU 25034S"/>
    <d v="2025-09-19T00:00:00"/>
    <m/>
    <n v="54"/>
    <n v="0"/>
    <s v="SI"/>
    <d v="2025-08-11T00:00:00"/>
    <n v="1"/>
    <m/>
    <m/>
    <m/>
    <n v="7"/>
    <m/>
    <n v="1"/>
    <n v="0"/>
    <m/>
    <n v="14"/>
    <m/>
    <n v="1"/>
    <n v="0"/>
    <m/>
    <m/>
    <s v="NINGBO"/>
    <d v="2025-07-28T00:00:00"/>
    <s v="LAZARO CARDENAS, MEXICO"/>
    <d v="2025-09-02T00:00:00"/>
    <n v="18"/>
    <m/>
    <m/>
    <m/>
    <s v="JENNIFER"/>
    <n v="11"/>
  </r>
  <r>
    <m/>
    <s v="25OT2134 "/>
    <x v="3"/>
    <s v="N/A"/>
    <s v="PDT"/>
    <m/>
    <m/>
    <x v="6"/>
    <s v="SYNSHA25SE071029"/>
    <s v="ONEYTPEF56545800"/>
    <s v="TGHU5254540 TCKU4622467"/>
    <n v="2"/>
    <s v="FCL"/>
    <s v="ONE"/>
    <m/>
    <s v="ACAJUTLA, EL SALVADOR"/>
    <s v="ACAJUTLA, EL SALVADOR"/>
    <m/>
    <s v="X-PRESS MACHU PICCHU 25034S"/>
    <d v="2025-09-19T00:00:00"/>
    <m/>
    <n v="45920"/>
    <n v="0"/>
    <s v="SI"/>
    <d v="2025-09-05T00:00:00"/>
    <n v="1"/>
    <m/>
    <m/>
    <m/>
    <n v="7"/>
    <m/>
    <n v="1"/>
    <n v="0"/>
    <m/>
    <n v="14"/>
    <m/>
    <n v="1"/>
    <n v="0"/>
    <m/>
    <d v="2025-08-16T00:00:00"/>
    <m/>
    <m/>
    <m/>
    <m/>
    <n v="45920"/>
    <m/>
    <m/>
    <m/>
    <s v="JENNIFER"/>
    <n v="11"/>
  </r>
  <r>
    <s v="pdt de atraque"/>
    <s v="25OT1590 "/>
    <x v="3"/>
    <d v="2025-08-12T00:00:00"/>
    <s v="N/A"/>
    <m/>
    <m/>
    <x v="6"/>
    <s v="ESSAPUS25051645"/>
    <s v="MEDUH5959307"/>
    <s v="MSDU6922565"/>
    <n v="1"/>
    <s v="FCL"/>
    <s v="MSC"/>
    <m/>
    <s v="ACAJUTLA, EL SALVADOR"/>
    <s v="ACAJUTLA, EL SALVADOR"/>
    <m/>
    <s v="MSC TIPHAINE II LO535A"/>
    <d v="2025-09-20T00:00:00"/>
    <m/>
    <n v="95"/>
    <n v="0"/>
    <s v="SI"/>
    <d v="2025-08-01T00:00:00"/>
    <n v="0"/>
    <s v="SI"/>
    <d v="2025-09-05T00:00:00"/>
    <d v="2025-09-05T00:00:00"/>
    <n v="7"/>
    <m/>
    <n v="1"/>
    <n v="0"/>
    <m/>
    <n v="14"/>
    <m/>
    <n v="1"/>
    <n v="0"/>
    <m/>
    <d v="2025-07-19T00:00:00"/>
    <s v="HONG KONG, CHINA"/>
    <d v="2025-06-18T00:00:00"/>
    <s v="LAZARO CARDENAS, MEXICO"/>
    <d v="2025-07-30T00:00:00"/>
    <n v="53"/>
    <m/>
    <m/>
    <s v="PDT"/>
    <s v="JENNIFER"/>
    <n v="12"/>
  </r>
  <r>
    <s v="PDT ENVIO DE MANIFIESTOS A NAVIERA"/>
    <s v="25OT2309 "/>
    <x v="3"/>
    <s v="NO LIBERAR"/>
    <s v="NO LIBERAR"/>
    <m/>
    <m/>
    <x v="6"/>
    <s v="GSZACA25080110"/>
    <s v="ONEYTAOFD2143600"/>
    <s v="ONEU3060308"/>
    <n v="1"/>
    <s v="FCL"/>
    <s v="ONE"/>
    <m/>
    <s v="ACAJUTLA, EL SALVADOR"/>
    <s v="ACAJUTLA, EL SALVADOR"/>
    <m/>
    <s v="MAGDALENA SCHULTE 0M317S1MA"/>
    <d v="2025-09-25T00:00:00"/>
    <m/>
    <n v="41"/>
    <n v="0"/>
    <s v="SI"/>
    <d v="2025-09-03T00:00:00"/>
    <n v="1"/>
    <m/>
    <m/>
    <m/>
    <n v="7"/>
    <m/>
    <n v="1"/>
    <n v="0"/>
    <m/>
    <n v="14"/>
    <m/>
    <n v="1"/>
    <n v="0"/>
    <m/>
    <d v="2025-08-27T00:00:00"/>
    <s v="NINGBO"/>
    <d v="2025-08-16T00:00:00"/>
    <s v="LAZARO CARDENAS, MEXICO"/>
    <d v="2025-09-09T00:00:00"/>
    <n v="17"/>
    <m/>
    <m/>
    <m/>
    <s v="JENNIFER"/>
    <n v="17"/>
  </r>
  <r>
    <s v="PDT ENVIO DE MANIFIESTOS A NAVIERA"/>
    <s v="25OT2411 "/>
    <x v="3"/>
    <s v="N/A"/>
    <s v="PDT"/>
    <m/>
    <m/>
    <x v="6"/>
    <s v="SYNNGB25SE081363"/>
    <s v="ONEYNB5BCX134400"/>
    <s v="FFAU6483001"/>
    <n v="1"/>
    <s v="FCL"/>
    <s v="ONE"/>
    <m/>
    <s v="ACAJUTLA, EL SALVADOR"/>
    <s v="ACAJUTLA, EL SALVADOR"/>
    <m/>
    <s v="MAGDALENA SCHULTE 0M317S1MA"/>
    <d v="2025-09-25T00:00:00"/>
    <m/>
    <n v="38"/>
    <n v="1"/>
    <m/>
    <m/>
    <n v="1"/>
    <m/>
    <m/>
    <m/>
    <n v="7"/>
    <m/>
    <n v="1"/>
    <n v="0"/>
    <m/>
    <n v="14"/>
    <m/>
    <n v="1"/>
    <n v="0"/>
    <m/>
    <d v="2025-09-06T00:00:00"/>
    <s v="NINGBO"/>
    <d v="2025-08-19T00:00:00"/>
    <s v="LAZARO CARDENAS, MEXICO"/>
    <d v="2025-09-09T00:00:00"/>
    <n v="17"/>
    <m/>
    <m/>
    <m/>
    <s v="JENNIFER"/>
    <n v="17"/>
  </r>
  <r>
    <s v="PDT ENVIO DE MANIFIESTOS A NAVIERA"/>
    <s v="25OT2302 "/>
    <x v="3"/>
    <s v="N/A"/>
    <s v="PDT"/>
    <m/>
    <m/>
    <x v="6"/>
    <s v="SYNNGB25SE080303"/>
    <s v="NGIC50482200"/>
    <s v="PCIU9235562"/>
    <n v="1"/>
    <s v="FCL"/>
    <s v="PIL EL SALVADOR"/>
    <m/>
    <s v="ACAJUTLA, EL SALVADOR"/>
    <s v="ACAJUTLA, EL SALVADOR"/>
    <m/>
    <s v="X-PRESS MACHU PICCHU VXPM5037S"/>
    <d v="2025-10-03T00:00:00"/>
    <m/>
    <n v="55"/>
    <n v="0"/>
    <s v="SI"/>
    <d v="2025-09-02T00:00:00"/>
    <n v="1"/>
    <m/>
    <m/>
    <m/>
    <n v="7"/>
    <m/>
    <n v="1"/>
    <n v="0"/>
    <m/>
    <n v="14"/>
    <m/>
    <n v="1"/>
    <n v="0"/>
    <m/>
    <d v="2025-08-27T00:00:00"/>
    <s v="NINGBO"/>
    <d v="2025-08-10T00:00:00"/>
    <m/>
    <m/>
    <n v="45934"/>
    <m/>
    <m/>
    <m/>
    <s v="JENNIFER"/>
    <n v="25"/>
  </r>
  <r>
    <s v="CONSOLIDADO 31"/>
    <s v="25OT1885 "/>
    <x v="3"/>
    <s v="NO LIBERAR"/>
    <s v="NO LIBERAR"/>
    <m/>
    <m/>
    <x v="6"/>
    <s v="SYNNGB25SE072379"/>
    <s v="NGIC50482100"/>
    <s v="PCIU8727444"/>
    <n v="1"/>
    <s v="FCL"/>
    <s v="PIL EL SALVADOR"/>
    <m/>
    <s v="ACAJUTLA, EL SALVADOR"/>
    <s v="ACAJUTLA, EL SALVADOR"/>
    <m/>
    <s v="X-PRESS MACHU PICCHU VXPM5037S"/>
    <d v="2025-10-03T00:00:00"/>
    <m/>
    <n v="55"/>
    <n v="0"/>
    <s v="SI"/>
    <d v="2025-09-02T00:00:00"/>
    <n v="1"/>
    <m/>
    <m/>
    <m/>
    <n v="7"/>
    <m/>
    <n v="1"/>
    <n v="0"/>
    <m/>
    <n v="14"/>
    <m/>
    <n v="1"/>
    <n v="0"/>
    <m/>
    <d v="2025-08-27T00:00:00"/>
    <s v="NINGBO"/>
    <d v="2025-08-10T00:00:00"/>
    <m/>
    <m/>
    <n v="45934"/>
    <m/>
    <m/>
    <m/>
    <s v="JENNIFER"/>
    <n v="25"/>
  </r>
  <r>
    <s v="CONSOLIDADO 35"/>
    <s v="25OT2065 "/>
    <x v="3"/>
    <s v="N/A"/>
    <s v="PDT"/>
    <m/>
    <m/>
    <x v="6"/>
    <s v="SYNHKG25SE080005"/>
    <s v="HKA2561183"/>
    <s v="CMAU6000487"/>
    <n v="1"/>
    <s v="FCL"/>
    <s v="CMA CGM"/>
    <m/>
    <s v="ACAJUTLA, EL SALVADOR"/>
    <s v="ACAJUTLA, EL SALVADOR"/>
    <m/>
    <s v="X-PRESS MACHU PICCHU 0M316N1MA"/>
    <d v="2025-10-06T00:00:00"/>
    <m/>
    <n v="60"/>
    <n v="0"/>
    <s v="SI"/>
    <d v="2025-09-03T00:00:00"/>
    <n v="1"/>
    <m/>
    <m/>
    <m/>
    <n v="7"/>
    <m/>
    <n v="1"/>
    <n v="0"/>
    <m/>
    <n v="14"/>
    <m/>
    <n v="1"/>
    <n v="0"/>
    <m/>
    <d v="2025-08-26T00:00:00"/>
    <s v="HONG KONG, CHINA"/>
    <d v="2025-08-08T00:00:00"/>
    <s v="LAZARO CARDENAS, MEXICO"/>
    <d v="2025-09-24T00:00:00"/>
    <n v="13"/>
    <m/>
    <m/>
    <m/>
    <s v="JENNIFER"/>
    <n v="28"/>
  </r>
  <r>
    <s v="CONSOLIDADO 32"/>
    <s v="25OT1951"/>
    <x v="3"/>
    <s v="N/A"/>
    <d v="2025-09-03T00:00:00"/>
    <m/>
    <m/>
    <x v="6"/>
    <s v="SYNHKG25SE08004"/>
    <s v="HKA2559811"/>
    <s v="TLLU4312744"/>
    <n v="1"/>
    <s v="FCL"/>
    <s v="CMA CGM"/>
    <m/>
    <s v="ACAJUTLA, EL SALVADOR"/>
    <s v="ACAJUTLA, EL SALVADOR"/>
    <m/>
    <s v="_x000a_X-PRESS MACHU PICCHU 0M316N1MA"/>
    <d v="2025-10-06T00:00:00"/>
    <m/>
    <n v="60"/>
    <n v="0"/>
    <s v="SI"/>
    <d v="2025-09-03T00:00:00"/>
    <n v="1"/>
    <m/>
    <m/>
    <m/>
    <n v="7"/>
    <m/>
    <n v="1"/>
    <n v="0"/>
    <m/>
    <n v="14"/>
    <m/>
    <n v="1"/>
    <n v="0"/>
    <m/>
    <d v="2025-08-23T00:00:00"/>
    <s v="SHANGHAI, CHINA"/>
    <d v="2025-08-08T00:00:00"/>
    <s v="LAZARO CARDENAS, MEXICO"/>
    <d v="2025-09-24T00:00:00"/>
    <n v="13"/>
    <m/>
    <m/>
    <m/>
    <s v="JENNIFER"/>
    <n v="28"/>
  </r>
  <r>
    <s v="CONSOLIDADO 36"/>
    <s v="25OT2149 "/>
    <x v="3"/>
    <s v="N/A"/>
    <s v="PDT"/>
    <m/>
    <m/>
    <x v="6"/>
    <s v="SYNHKG25SE080006"/>
    <s v="HKA2561177 "/>
    <s v="CMAU6579928"/>
    <n v="1"/>
    <s v="FCL"/>
    <s v="CMA CGM"/>
    <m/>
    <s v="ACAJUTLA, EL SALVADOR"/>
    <s v="ACAJUTLA, EL SALVADOR"/>
    <m/>
    <s v="X-PRESS MACHU PICCHU 0M316N1MA"/>
    <d v="2025-10-06T00:00:00"/>
    <m/>
    <n v="60"/>
    <n v="0"/>
    <s v="SI"/>
    <d v="2025-09-04T00:00:00"/>
    <n v="1"/>
    <m/>
    <m/>
    <m/>
    <n v="7"/>
    <m/>
    <n v="1"/>
    <n v="0"/>
    <m/>
    <n v="14"/>
    <m/>
    <n v="1"/>
    <n v="0"/>
    <m/>
    <d v="2025-08-23T00:00:00"/>
    <s v="SHANGHAI, CHINA"/>
    <d v="2025-08-08T00:00:00"/>
    <s v="LAZARO CARDENAS, MEXICO"/>
    <d v="2025-09-24T00:00:00"/>
    <n v="13"/>
    <m/>
    <m/>
    <m/>
    <s v="JENNIFER"/>
    <n v="28"/>
  </r>
  <r>
    <s v="CONSOLIDADO 34"/>
    <s v="25OT1863 "/>
    <x v="3"/>
    <s v="NO LIBERAR"/>
    <s v="NO LIBERAR"/>
    <m/>
    <m/>
    <x v="6"/>
    <s v="SYNNGB25SE080275"/>
    <s v="NGP2690002"/>
    <s v="CMAU3761292"/>
    <n v="1"/>
    <s v="FCL"/>
    <s v="CMA CGM"/>
    <m/>
    <s v="ACAJUTLA, EL SALVADOR"/>
    <s v="ACAJUTLA, EL SALVADOR"/>
    <m/>
    <s v="X-PRESS MACHU PICCHU 0M316N1MA"/>
    <d v="2025-10-06T00:00:00"/>
    <m/>
    <n v="53"/>
    <n v="0"/>
    <s v="SI"/>
    <d v="2025-09-04T00:00:00"/>
    <n v="1"/>
    <m/>
    <m/>
    <m/>
    <n v="7"/>
    <m/>
    <n v="1"/>
    <n v="0"/>
    <m/>
    <n v="14"/>
    <m/>
    <n v="1"/>
    <n v="0"/>
    <m/>
    <d v="2025-08-27T00:00:00"/>
    <s v="NINGBO"/>
    <d v="2025-08-15T00:00:00"/>
    <s v="LAZARO CARDENAS, MEXICO"/>
    <d v="2025-09-17T00:00:00"/>
    <n v="20"/>
    <m/>
    <m/>
    <m/>
    <s v="JENNIFER"/>
    <n v="28"/>
  </r>
  <r>
    <s v="CONSOLIDADO 37"/>
    <s v="25OT2239 "/>
    <x v="3"/>
    <s v="OK"/>
    <s v="PDT"/>
    <m/>
    <m/>
    <x v="6"/>
    <s v="SYNHKG25SE080007"/>
    <s v="HKA2567435"/>
    <s v="CAIU9743863"/>
    <n v="1"/>
    <s v="FCL"/>
    <s v="CMA CGM"/>
    <m/>
    <s v="ACAJUTLA, EL SALVADOR"/>
    <s v="ACAJUTLA, EL SALVADOR"/>
    <m/>
    <s v="MAGDALENA SCHULTE 0M31EN1MA"/>
    <d v="2025-10-17T00:00:00"/>
    <m/>
    <n v="64"/>
    <n v="0"/>
    <s v="SI"/>
    <d v="2025-09-04T00:00:00"/>
    <n v="1"/>
    <m/>
    <m/>
    <m/>
    <n v="7"/>
    <m/>
    <n v="1"/>
    <n v="0"/>
    <m/>
    <n v="14"/>
    <m/>
    <n v="1"/>
    <n v="0"/>
    <m/>
    <d v="2025-08-27T00:00:00"/>
    <s v="HONG KONG, CHINA"/>
    <d v="2025-08-15T00:00:00"/>
    <s v="LAZARO CARDENAS, MEXICO"/>
    <d v="2025-10-01T00:00:00"/>
    <n v="17"/>
    <m/>
    <m/>
    <m/>
    <s v="JENNIFER"/>
    <n v="39"/>
  </r>
  <r>
    <m/>
    <s v="25OT2263 "/>
    <x v="3"/>
    <m/>
    <s v="PDT"/>
    <m/>
    <m/>
    <x v="6"/>
    <m/>
    <s v="QGD2142705"/>
    <s v="TCNU4653098"/>
    <n v="1"/>
    <s v="FCL"/>
    <s v="CMA CGM"/>
    <m/>
    <s v="ACAJUTLA, EL SALVADOR"/>
    <s v="ACAJUTLA, EL SALVADOR"/>
    <m/>
    <m/>
    <m/>
    <m/>
    <n v="1"/>
    <n v="-1"/>
    <m/>
    <m/>
    <n v="-1"/>
    <m/>
    <m/>
    <m/>
    <n v="7"/>
    <m/>
    <n v="1"/>
    <n v="0"/>
    <m/>
    <n v="14"/>
    <m/>
    <n v="1"/>
    <n v="0"/>
    <m/>
    <m/>
    <m/>
    <m/>
    <m/>
    <m/>
    <n v="1"/>
    <m/>
    <m/>
    <m/>
    <s v="JENNIFER"/>
    <n v="-45908"/>
  </r>
  <r>
    <m/>
    <m/>
    <x v="4"/>
    <m/>
    <m/>
    <m/>
    <m/>
    <x v="7"/>
    <m/>
    <m/>
    <m/>
    <m/>
    <m/>
    <m/>
    <m/>
    <m/>
    <m/>
    <m/>
    <m/>
    <m/>
    <m/>
    <n v="1"/>
    <n v="-1"/>
    <m/>
    <m/>
    <n v="-1"/>
    <m/>
    <m/>
    <m/>
    <n v="7"/>
    <m/>
    <n v="1"/>
    <n v="0"/>
    <m/>
    <n v="14"/>
    <m/>
    <n v="1"/>
    <n v="0"/>
    <m/>
    <m/>
    <m/>
    <m/>
    <m/>
    <m/>
    <n v="1"/>
    <m/>
    <m/>
    <m/>
    <s v="JENNIFER"/>
    <n v="-45908"/>
  </r>
  <r>
    <m/>
    <m/>
    <x v="4"/>
    <m/>
    <m/>
    <m/>
    <m/>
    <x v="7"/>
    <m/>
    <m/>
    <m/>
    <m/>
    <m/>
    <m/>
    <m/>
    <m/>
    <m/>
    <m/>
    <m/>
    <m/>
    <m/>
    <n v="1"/>
    <n v="-1"/>
    <m/>
    <m/>
    <n v="-1"/>
    <m/>
    <m/>
    <m/>
    <n v="7"/>
    <m/>
    <n v="1"/>
    <n v="0"/>
    <m/>
    <n v="14"/>
    <m/>
    <n v="1"/>
    <n v="0"/>
    <m/>
    <m/>
    <m/>
    <m/>
    <m/>
    <m/>
    <n v="1"/>
    <m/>
    <m/>
    <m/>
    <s v="JENNIFER"/>
    <n v="-45908"/>
  </r>
  <r>
    <m/>
    <m/>
    <x v="4"/>
    <m/>
    <m/>
    <m/>
    <m/>
    <x v="7"/>
    <m/>
    <m/>
    <m/>
    <m/>
    <m/>
    <m/>
    <m/>
    <m/>
    <m/>
    <m/>
    <m/>
    <m/>
    <m/>
    <n v="1"/>
    <n v="-1"/>
    <m/>
    <m/>
    <n v="-1"/>
    <m/>
    <m/>
    <m/>
    <n v="7"/>
    <m/>
    <n v="1"/>
    <n v="0"/>
    <m/>
    <n v="14"/>
    <m/>
    <n v="1"/>
    <n v="0"/>
    <m/>
    <m/>
    <m/>
    <m/>
    <m/>
    <m/>
    <n v="1"/>
    <m/>
    <m/>
    <m/>
    <s v="JENNIFER"/>
    <n v="-459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5BD981-3A44-45A3-B9CE-E5998A0032AC}" name="TablaDinámica1"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6" firstHeaderRow="1" firstDataRow="1" firstDataCol="1" rowPageCount="1" colPageCount="1"/>
  <pivotFields count="50">
    <pivotField showAll="0"/>
    <pivotField dataField="1" showAll="0"/>
    <pivotField axis="axisPage" multipleItemSelectionAllowed="1" showAll="0">
      <items count="6">
        <item h="1" x="1"/>
        <item x="2"/>
        <item x="3"/>
        <item x="4"/>
        <item h="1" x="0"/>
        <item t="default"/>
      </items>
    </pivotField>
    <pivotField showAll="0"/>
    <pivotField showAll="0"/>
    <pivotField showAll="0"/>
    <pivotField showAll="0"/>
    <pivotField axis="axisRow" showAll="0">
      <items count="10">
        <item x="2"/>
        <item x="3"/>
        <item x="5"/>
        <item x="1"/>
        <item x="4"/>
        <item x="0"/>
        <item m="1" x="8"/>
        <item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numFmtId="2" showAll="0"/>
  </pivotFields>
  <rowFields count="1">
    <field x="7"/>
  </rowFields>
  <rowItems count="3">
    <i>
      <x v="7"/>
    </i>
    <i>
      <x v="8"/>
    </i>
    <i t="grand">
      <x/>
    </i>
  </rowItems>
  <colItems count="1">
    <i/>
  </colItems>
  <pageFields count="1">
    <pageField fld="2" hier="-1"/>
  </pageFields>
  <dataFields count="1">
    <dataField name="Cuenta de O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1" xr16:uid="{00000000-0016-0000-0200-000000000000}" autoFormatId="16" applyNumberFormats="0" applyBorderFormats="0" applyFontFormats="0" applyPatternFormats="0" applyAlignmentFormats="0" applyWidthHeightFormats="0">
  <queryTableRefresh nextId="7">
    <queryTableFields count="6">
      <queryTableField id="1" name="ESTATUS" tableColumnId="1"/>
      <queryTableField id="2" name="NAVIERA" tableColumnId="2"/>
      <queryTableField id="3" name="TIPO DE EMBARQUE" tableColumnId="3"/>
      <queryTableField id="4" name="PUERTO DE ARRIBO" tableColumnId="4"/>
      <queryTableField id="5" name="DESTINO FINAL" tableColumnId="5"/>
      <queryTableField id="6" name="PUERTO DE TRANSBORDO"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6A4380-1C71-49C5-BA48-F76E669243F0}" name="Tabla2" displayName="Tabla2" ref="A2:AX74" totalsRowShown="0" headerRowDxfId="98" dataDxfId="97" tableBorderDxfId="96" headerRowCellStyle="Énfasis6">
  <sortState xmlns:xlrd2="http://schemas.microsoft.com/office/spreadsheetml/2017/richdata2" ref="A55:AX71">
    <sortCondition ref="T2:T74"/>
  </sortState>
  <tableColumns count="50">
    <tableColumn id="1" xr3:uid="{8866F11A-9A42-49AF-A1EF-5250F57D5032}" name="COMENTARIOS" dataDxfId="95"/>
    <tableColumn id="2" xr3:uid="{63E97444-1225-49F5-B72D-E0D6B7B9680E}" name="OT" dataDxfId="94"/>
    <tableColumn id="3" xr3:uid="{DE7C6778-A678-4B0F-BD58-E470E2FE3CAE}" name="ESTATUS" dataDxfId="93"/>
    <tableColumn id="4" xr3:uid="{CB3CF07F-76B4-4E12-9232-9D26E8F484A3}" name="EXPRESS RELEASE (HBL)" dataDxfId="92"/>
    <tableColumn id="5" xr3:uid="{ABA9C990-D50C-4705-99B7-8827C0316561}" name="CONTRA ENTREGA DE ORIGINAL (HBL)" dataDxfId="91"/>
    <tableColumn id="6" xr3:uid="{206CD1EA-B239-4EC0-AE5E-EE3B0F568792}" name="ENTREGA DE DOC. ORIGINAL AL CNEE" dataDxfId="90"/>
    <tableColumn id="39" xr3:uid="{51A226CE-9A00-4496-AC4A-B3392644F3CD}" name="CRÉDITO" dataDxfId="89"/>
    <tableColumn id="7" xr3:uid="{006C926C-3BD3-42D5-A7B5-E929915B866D}" name="NOMBRE DEL CONSIGNATARIO" dataDxfId="88"/>
    <tableColumn id="8" xr3:uid="{EBD26D67-C64D-481D-A43F-26A386D3BCD4}" name="NO. DOC HOUSE" dataDxfId="87"/>
    <tableColumn id="9" xr3:uid="{32F11BBC-8759-483B-B199-486FE92C104E}" name="NO. DOC MASTER" dataDxfId="86"/>
    <tableColumn id="10" xr3:uid="{C99F1329-AAB5-4DD0-B944-BFB8B5448FFF}" name="NUMERO CNTR" dataDxfId="85"/>
    <tableColumn id="11" xr3:uid="{D51365A6-95BD-4830-95F9-EBEB8A57DAB8}" name="TOTAL DE CNTR" dataDxfId="84"/>
    <tableColumn id="12" xr3:uid="{7D01F09D-D0CA-4CF2-8ED6-8727E58559CA}" name="TIPO DE EMBARQUE" dataDxfId="83"/>
    <tableColumn id="13" xr3:uid="{5180449F-C197-47F2-98F0-51FC53FA84A1}" name="NAVIERA (Destino)" dataDxfId="82"/>
    <tableColumn id="19" xr3:uid="{1E7EBF77-3EE5-43EE-A314-6424C0D2F50F}" name="FECHA EMISION DE MB/L" dataDxfId="81"/>
    <tableColumn id="14" xr3:uid="{D839C024-0247-424F-9B37-52E5A1E25466}" name="PUERTO DE ARRIBO/PAIS" dataDxfId="80"/>
    <tableColumn id="15" xr3:uid="{94FC19D4-743A-4A98-8DCD-E5ED5A404E01}" name="DESTINO FINAL DE EMBARQUE" dataDxfId="79"/>
    <tableColumn id="16" xr3:uid="{47662897-F42F-4F39-8804-A962679F90CF}" name="SOLICITUD  MOVIMIENTO PRESTAMO DE EQUIPO " dataDxfId="78"/>
    <tableColumn id="17" xr3:uid="{8C984B98-9C7D-4DD9-B5C5-10C6D818FF46}" name="BARCO Y VIAJE DE ARRIBO" dataDxfId="77"/>
    <tableColumn id="18" xr3:uid="{C28A297E-D39D-4248-928D-E5944B497A1F}" name="FECHA ATRAQUE" dataDxfId="76"/>
    <tableColumn id="40" xr3:uid="{196E5FAC-D2C1-48A5-8BBD-AF43061A55A1}" name="FECHA TARJA" dataDxfId="75"/>
    <tableColumn id="20" xr3:uid="{CED55FE5-552F-4702-82FA-85E1946B7396}" name="TIEMPO DE TRANSITO" dataDxfId="74"/>
    <tableColumn id="21" xr3:uid="{8892B248-C678-4CA0-B3CC-5E27E16894AF}" name="ALERTA NOTIFICACIÓN" dataDxfId="73"/>
    <tableColumn id="22" xr3:uid="{9FDAD861-4B0D-455F-B3CC-B491F5EFFAEA}" name="¿PRE ALERTARDO?" dataDxfId="72"/>
    <tableColumn id="23" xr3:uid="{87BC449D-A2FC-4B9D-B180-D299F5894F5E}" name="FECHA ENVIO PRE-ALERTA AL CNEE" dataDxfId="71"/>
    <tableColumn id="24" xr3:uid="{958669B4-1A9F-4B5B-8B2A-7CC6C620C712}" name="ALERTA FACTURACION" dataDxfId="70"/>
    <tableColumn id="25" xr3:uid="{6E2FC245-EF3A-46AF-976A-F914D3A93115}" name="¿FACTURADO?" dataDxfId="69"/>
    <tableColumn id="26" xr3:uid="{A962094F-1188-4710-B960-598274402B74}" name="FECHA SOLICITUD FACTURACION" dataDxfId="68"/>
    <tableColumn id="27" xr3:uid="{CB26F6EE-5C7B-4B54-8360-9D346DB6D115}" name="FECHA RECEPCION DE FACTURA" dataDxfId="67"/>
    <tableColumn id="49" xr3:uid="{2AE9AC9C-6170-462D-9B9F-A8B3CFD81762}" name="DIAS LIBRES ALMACENAJE" dataDxfId="66"/>
    <tableColumn id="50" xr3:uid="{EDCCA0A3-E260-491C-A963-96C0C4D5DFE0}" name="RETIRO DE PUERTO" dataDxfId="65"/>
    <tableColumn id="45" xr3:uid="{DED00377-8989-4093-9268-C34D78DA4ED4}" name="ALERTA ALMACENAJES" dataDxfId="64">
      <calculatedColumnFormula>IF(Tabla2[[#This Row],[FACTURACION ALMACENAJE]]="SI",0,IF(Tabla2[[#This Row],[DIAS GENERADOS ALMACENAJE]]&lt;=0,1,-1))</calculatedColumnFormula>
    </tableColumn>
    <tableColumn id="46" xr3:uid="{51C7A13F-2358-4D44-8CEF-BD0E924950A6}" name="DIAS GENERADOS ALMACENAJE" dataDxfId="63">
      <calculatedColumnFormula>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calculatedColumnFormula>
    </tableColumn>
    <tableColumn id="47" xr3:uid="{333B3FFC-FD31-42D4-8FA3-48F3D9F5E367}" name="FACTURACION ALMACENAJE" dataDxfId="62"/>
    <tableColumn id="48" xr3:uid="{490F8520-BCC3-4EE5-A6A5-DABEA75AFC45}" name="DIAS LIBRES DEMORA" dataDxfId="61"/>
    <tableColumn id="43" xr3:uid="{DC9ABD01-595B-4A04-A335-90F3D850874C}" name="ENTREGA DE VACIO EN PREDIO" dataDxfId="60"/>
    <tableColumn id="44" xr3:uid="{4F84BE10-00B3-4DDD-8DC7-A27D78ECA894}" name="ALERTA DEMORA" dataDxfId="59">
      <calculatedColumnFormula>IF(Tabla2[[#This Row],[FACTURACION DEMORAS]]="SI",0,IF(Tabla2[[#This Row],[DIAS GENERADOS DEMORA]]&lt;=0,1,-1))</calculatedColumnFormula>
    </tableColumn>
    <tableColumn id="42" xr3:uid="{F4278F23-8A5F-4EF9-8ED3-66E3191B26E3}" name="DIAS GENERADOS DEMORA" dataDxfId="58">
      <calculatedColumnFormula>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calculatedColumnFormula>
    </tableColumn>
    <tableColumn id="41" xr3:uid="{222C74E5-5C0E-448A-B469-2D9A878FCC35}" name="FACTURACION DEMORAS" dataDxfId="57"/>
    <tableColumn id="28" xr3:uid="{AB633703-E42B-4DDE-AB85-841FF2465097}" name="RECEPCION OT" dataDxfId="56"/>
    <tableColumn id="29" xr3:uid="{D4B3F61A-4CAE-4B66-9DD6-22FD302BF2B2}" name="PUERTO DE SALIDA (ORIGEN)" dataDxfId="55"/>
    <tableColumn id="30" xr3:uid="{C89DECC3-7860-4A0D-AA41-C93F05CD01A4}" name="ETD" dataDxfId="54"/>
    <tableColumn id="31" xr3:uid="{6974223B-0726-4A02-B25F-B7B86372F507}" name="PUERTO DE TRANSBORDO" dataDxfId="53"/>
    <tableColumn id="32" xr3:uid="{2C94B313-2E8A-4A6C-A85D-422382DD3387}" name="ARRIBO A TRANSBORDO" dataDxfId="52"/>
    <tableColumn id="33" xr3:uid="{B663E0B3-B769-433F-9850-17A067FE4776}" name="TIEMPO EN TRANSBORDO" dataDxfId="51">
      <calculatedColumnFormula>+Tabla2[[#This Row],[FECHA ATRAQUE]]-Tabla2[[#This Row],[ARRIBO A TRANSBORDO]]+1</calculatedColumnFormula>
    </tableColumn>
    <tableColumn id="34" xr3:uid="{D00FAC16-067E-435E-8D3A-051D1A99FD2E}" name="PROVISION DE PROVEEDOR" dataDxfId="50"/>
    <tableColumn id="35" xr3:uid="{EA81A39F-1DF1-4080-9830-A1E007ED1366}" name="ENVIO MF A NAVIERA PARA TARJA" dataDxfId="49"/>
    <tableColumn id="36" xr3:uid="{3FC1B116-EA5D-48CF-BA11-82465026275C}" name="ENVIO CIERRE DE OT" dataDxfId="48"/>
    <tableColumn id="37" xr3:uid="{9463E0EA-ACBF-4E0B-90B4-41C996A6E6B3}" name="OPERATIVO" dataDxfId="47"/>
    <tableColumn id="38" xr3:uid="{B7F496DA-B64F-4187-AEF9-DAD263CF6FA6}" name="Columna1" dataDxfId="46">
      <calculatedColumnFormula>Tabla2[[#This Row],[FECHA ATRAQUE]]-TODAY()</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E8937D-640F-4CF2-850B-AD2F0C59078C}" name="Consulta1" displayName="Consulta1" ref="A1:F64" tableType="queryTable" totalsRowShown="0">
  <autoFilter ref="A1:F64" xr:uid="{40E8937D-640F-4CF2-850B-AD2F0C59078C}"/>
  <tableColumns count="6">
    <tableColumn id="1" xr3:uid="{3DF4F238-358C-4EA5-B1AA-C2BB15476B77}" uniqueName="1" name="ESTATUS" queryTableFieldId="1" dataDxfId="45"/>
    <tableColumn id="2" xr3:uid="{E59BAB25-88F0-4DDF-985D-0A3376BD5753}" uniqueName="2" name="NAVIERA" queryTableFieldId="2" dataDxfId="44"/>
    <tableColumn id="3" xr3:uid="{39A1AA52-0FA4-4758-A6D0-BB3712AB21CA}" uniqueName="3" name="TIPO DE EMBARQUE" queryTableFieldId="3" dataDxfId="43"/>
    <tableColumn id="4" xr3:uid="{2C1D42A1-0415-4C24-A442-90E2E8E4D31F}" uniqueName="4" name="PUERTO DE ARRIBO" queryTableFieldId="4" dataDxfId="42"/>
    <tableColumn id="5" xr3:uid="{CDE374FC-251A-4F9F-A64B-1B6252083B68}" uniqueName="5" name="DESTINO FINAL" queryTableFieldId="5" dataDxfId="41"/>
    <tableColumn id="6" xr3:uid="{16996495-CBB7-4409-A4C2-5C551AD1A10E}" uniqueName="6" name="PUERTO DE TRANSBORDO" queryTableFieldId="6" dataDxf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62" dT="2025-09-01T22:45:26.10" personId="{096B5A0B-B248-479C-9611-D27096D1CDA6}" id="{C32F3C18-0C35-48D0-AFA6-182F2ABBCACA}">
    <text xml:space="preserve">1) 25OT2114 (HBL TELEX RELEASE OK LIBERAR)
2) 25OT2065 (HBL CONTRA ENTREGA DE ORIGINAL)
</text>
  </threadedComment>
  <threadedComment ref="E63" dT="2025-09-02T14:27:51.92" personId="{096B5A0B-B248-479C-9611-D27096D1CDA6}" id="{B751DB27-A639-47B2-BBDA-E3ED3BA806D0}">
    <text xml:space="preserve">25OT2185 HBL TELEX RELEASE OK LIBERAR
25OT2149 HBL CONTRA ENTREGA DE ORIGINAL
25OT2216 HBL CONTRA ENTREGA DE ORIGINAL
25OT2240 HBL CONTRA ENTREGA DE ORIGINAL
</text>
  </threadedComment>
</ThreadedComments>
</file>

<file path=xl/threadedComments/threadedComment2.xml><?xml version="1.0" encoding="utf-8"?>
<ThreadedComments xmlns="http://schemas.microsoft.com/office/spreadsheetml/2018/threadedcomments" xmlns:x="http://schemas.openxmlformats.org/spreadsheetml/2006/main">
  <threadedComment ref="C16" dT="2025-08-28T19:44:29.71" personId="{096B5A0B-B248-479C-9611-D27096D1CDA6}" id="{986412D3-5B58-4518-95D7-9EF523F2F806}">
    <text xml:space="preserve">25OT1885 HBL TELEX RELEASE NO LIBERAR NO SE PUEDE LIBERAR POR FALTA DE PAGOS DE CNEE A SHIPPER
25OT2008 HBL TELEX RELEASE OK LIBERAR
25OT2054 HBL TELEX RELEASE OK LIBERAR
25OT2073 HBL CONTRA ENTREGA DE ORIGINAL
</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5-09-08T14:47:39.63" personId="{1E9E92D9-0E97-448B-8577-1D46349AC78D}" id="{A1360FA2-500D-4F1F-980F-F02F8A1DF3D3}">
    <text xml:space="preserve">1) 25OT1862 (HBL CONTRA ENTREGA DE ORIGINAL)
2) (HBL CONTRA ENTREGA DE ORIGINAL)
3) 25OT1933 (HBL CONTRA ENTREGA DE ORIGINAL)
4) 25OT1854 (HBL CONTRA ENTREGA DE ORIGINAL)
5) 25OT2026 (HBL CONTRA ENTREGA DE ORIGINAL)
</text>
  </threadedComment>
  <threadedComment ref="C5" dT="2025-09-06T13:39:10.28" personId="{1E9E92D9-0E97-448B-8577-1D46349AC78D}" id="{1EFA7378-4F29-4684-9E13-D1D6FBBB801B}">
    <text xml:space="preserve">25OT2089 HBL CONTRA ENTREGA DE ORIGINAL
25OT2154 HBL TELEX RELEASE OK LIBERAR
25OT2201 HBL TELEX RELEASE OK LIBERAR
</text>
  </threadedComment>
  <threadedComment ref="C7" dT="2025-08-28T20:00:04.47" personId="{096B5A0B-B248-479C-9611-D27096D1CDA6}" id="{35DC59B7-D85A-499C-806A-D735EECE9E1F}">
    <text>HBL TELEX RELEASE NO LIBERAR NO SE PUEDE LIBERAR POR FALTA DE PAGOS DE CNEE A SHIPPER</text>
  </threadedComment>
  <threadedComment ref="C10" dT="2025-09-01T22:45:26.10" personId="{096B5A0B-B248-479C-9611-D27096D1CDA6}" id="{6C6F2AC7-CE53-4FA2-BD62-F387B3661D2C}">
    <text xml:space="preserve">1) 25OT2114 (HBL TELEX RELEASE OK LIBERAR)
2) 25OT2065 (HBL CONTRA ENTREGA DE ORIGINAL)
</text>
  </threadedComment>
  <threadedComment ref="C11" dT="2025-09-02T14:27:51.92" personId="{096B5A0B-B248-479C-9611-D27096D1CDA6}" id="{DA886C63-B756-43A3-AB28-75F86B4009BC}">
    <text xml:space="preserve">25OT2185 HBL TELEX RELEASE OK LIBERAR
25OT2149 HBL CONTRA ENTREGA DE ORIGINAL
25OT2216 HBL CONTRA ENTREGA DE ORIGINAL
25OT2240 HBL CONTRA ENTREGA DE ORIGINAL
</text>
  </threadedComment>
  <threadedComment ref="C12" dT="2025-08-28T19:48:54.80" personId="{096B5A0B-B248-479C-9611-D27096D1CDA6}" id="{0532FC3E-E47E-497C-9B16-044D589B72C4}">
    <text>25OT1863 HBL TELEX RELEASE NO LIBERAR NO SE PUEDE LIBERAR POR FALTA DE PAGOS DE CNEE A SHIPPER
25OT2223 HBL TELEX RELEASE OK LIBERAR</text>
  </threadedComment>
  <threadedComment ref="C13" dT="2025-08-28T20:00:04.47" personId="{096B5A0B-B248-479C-9611-D27096D1CDA6}" id="{4BBDEE09-82FF-461B-806B-1506C3105BA1}">
    <text>25OT2177 HBL CONTRA ENTREGA DE ORIGINAL
25OT2239 HBL TELEX RELEASE OK LIBERAR</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90321-876E-450F-AE40-1FB23DDB7930}">
  <dimension ref="A1:B6"/>
  <sheetViews>
    <sheetView workbookViewId="0"/>
  </sheetViews>
  <sheetFormatPr baseColWidth="10" defaultColWidth="10.6640625" defaultRowHeight="14.4" x14ac:dyDescent="0.3"/>
  <cols>
    <col min="1" max="1" width="41.109375" bestFit="1" customWidth="1"/>
    <col min="2" max="2" width="20.44140625" bestFit="1" customWidth="1"/>
  </cols>
  <sheetData>
    <row r="1" spans="1:2" x14ac:dyDescent="0.3">
      <c r="A1" s="47" t="s">
        <v>0</v>
      </c>
      <c r="B1" t="s">
        <v>287</v>
      </c>
    </row>
    <row r="3" spans="1:2" x14ac:dyDescent="0.3">
      <c r="A3" s="47" t="s">
        <v>284</v>
      </c>
      <c r="B3" t="s">
        <v>283</v>
      </c>
    </row>
    <row r="4" spans="1:2" x14ac:dyDescent="0.3">
      <c r="A4" s="48" t="s">
        <v>285</v>
      </c>
    </row>
    <row r="5" spans="1:2" x14ac:dyDescent="0.3">
      <c r="A5" s="48" t="s">
        <v>290</v>
      </c>
      <c r="B5">
        <v>26</v>
      </c>
    </row>
    <row r="6" spans="1:2" x14ac:dyDescent="0.3">
      <c r="A6" s="48" t="s">
        <v>286</v>
      </c>
      <c r="B6">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74"/>
  <sheetViews>
    <sheetView showGridLines="0" tabSelected="1" zoomScaleNormal="100" workbookViewId="0">
      <pane xSplit="11" ySplit="2" topLeftCell="S63" activePane="bottomRight" state="frozen"/>
      <selection pane="topRight" activeCell="K1" sqref="K1"/>
      <selection pane="bottomLeft" activeCell="A2" sqref="A2"/>
      <selection pane="bottomRight" activeCell="C65" sqref="C65"/>
    </sheetView>
  </sheetViews>
  <sheetFormatPr baseColWidth="10" defaultColWidth="13.44140625" defaultRowHeight="12" x14ac:dyDescent="0.25"/>
  <cols>
    <col min="1" max="1" width="29.88671875" style="114" customWidth="1"/>
    <col min="2" max="2" width="10.6640625" style="114" customWidth="1"/>
    <col min="3" max="3" width="10.88671875" style="114" customWidth="1"/>
    <col min="4" max="4" width="11.77734375" style="114" customWidth="1"/>
    <col min="5" max="5" width="13.5546875" style="114" customWidth="1"/>
    <col min="6" max="7" width="10.6640625" style="114" customWidth="1"/>
    <col min="8" max="8" width="26.6640625" style="118" customWidth="1"/>
    <col min="9" max="9" width="19.21875" style="114" customWidth="1"/>
    <col min="10" max="10" width="19.33203125" style="114" bestFit="1" customWidth="1"/>
    <col min="11" max="11" width="16.5546875" style="114" customWidth="1"/>
    <col min="12" max="12" width="5.6640625" style="114" customWidth="1"/>
    <col min="13" max="13" width="16.109375" style="114" customWidth="1"/>
    <col min="14" max="14" width="12.88671875" style="114" bestFit="1" customWidth="1"/>
    <col min="15" max="15" width="10.6640625" style="114" customWidth="1"/>
    <col min="16" max="16" width="17.44140625" style="119" bestFit="1" customWidth="1"/>
    <col min="17" max="17" width="13.88671875" style="114" customWidth="1"/>
    <col min="18" max="18" width="11.6640625" style="114" customWidth="1"/>
    <col min="19" max="19" width="18" style="114" customWidth="1"/>
    <col min="20" max="20" width="10.6640625" style="114" customWidth="1"/>
    <col min="21" max="21" width="10.6640625" style="116" customWidth="1"/>
    <col min="22" max="22" width="13.44140625" style="114"/>
    <col min="23" max="23" width="10.109375" style="114" customWidth="1"/>
    <col min="24" max="24" width="11.6640625" style="114" customWidth="1"/>
    <col min="25" max="25" width="10.88671875" style="114" customWidth="1"/>
    <col min="26" max="26" width="10.6640625" style="114" customWidth="1"/>
    <col min="27" max="27" width="11.6640625" style="114" customWidth="1"/>
    <col min="28" max="28" width="11.109375" style="114" customWidth="1"/>
    <col min="29" max="40" width="10.6640625" style="114" customWidth="1"/>
    <col min="41" max="41" width="19" style="114" bestFit="1" customWidth="1"/>
    <col min="42" max="42" width="11.5546875" style="114" customWidth="1"/>
    <col min="43" max="46" width="10.6640625" style="114" customWidth="1"/>
    <col min="47" max="47" width="13.44140625" style="114"/>
    <col min="48" max="48" width="13.44140625" style="114" customWidth="1"/>
    <col min="49" max="49" width="13.44140625" style="114"/>
    <col min="50" max="50" width="13.44140625" style="114" customWidth="1"/>
    <col min="51" max="51" width="13.44140625" style="113" customWidth="1"/>
    <col min="52" max="16384" width="13.44140625" style="114"/>
  </cols>
  <sheetData>
    <row r="1" spans="1:51" s="32" customFormat="1" ht="26.4" thickBot="1" x14ac:dyDescent="0.35">
      <c r="A1" s="191" t="s">
        <v>219</v>
      </c>
      <c r="B1" s="192"/>
      <c r="C1" s="192"/>
      <c r="D1" s="192"/>
      <c r="E1" s="192"/>
      <c r="F1" s="192"/>
      <c r="G1" s="192"/>
      <c r="H1" s="193"/>
      <c r="I1" s="192"/>
      <c r="J1" s="192"/>
      <c r="K1" s="192"/>
      <c r="L1" s="192"/>
      <c r="M1" s="192"/>
      <c r="N1" s="192"/>
      <c r="O1" s="192"/>
      <c r="P1" s="192"/>
      <c r="Q1" s="192"/>
      <c r="R1" s="192"/>
      <c r="S1" s="192"/>
      <c r="T1" s="192"/>
      <c r="U1" s="192"/>
      <c r="V1" s="192"/>
      <c r="W1" s="194" t="s">
        <v>220</v>
      </c>
      <c r="X1" s="195"/>
      <c r="Y1" s="195"/>
      <c r="Z1" s="195"/>
      <c r="AA1" s="195"/>
      <c r="AB1" s="195"/>
      <c r="AC1" s="195"/>
      <c r="AD1" s="196" t="s">
        <v>221</v>
      </c>
      <c r="AE1" s="197"/>
      <c r="AF1" s="197"/>
      <c r="AG1" s="197"/>
      <c r="AH1" s="197"/>
      <c r="AI1" s="197"/>
      <c r="AJ1" s="197"/>
      <c r="AK1" s="197"/>
      <c r="AL1" s="197"/>
      <c r="AM1" s="198"/>
      <c r="AN1" s="31"/>
      <c r="AO1" s="31"/>
      <c r="AP1" s="31"/>
      <c r="AQ1" s="31"/>
    </row>
    <row r="2" spans="1:51" s="30" customFormat="1" ht="40.799999999999997" x14ac:dyDescent="0.3">
      <c r="A2" s="152" t="s">
        <v>104</v>
      </c>
      <c r="B2" s="19" t="s">
        <v>105</v>
      </c>
      <c r="C2" s="20" t="s">
        <v>0</v>
      </c>
      <c r="D2" s="20" t="s">
        <v>106</v>
      </c>
      <c r="E2" s="20" t="s">
        <v>107</v>
      </c>
      <c r="F2" s="20" t="s">
        <v>108</v>
      </c>
      <c r="G2" s="20" t="s">
        <v>206</v>
      </c>
      <c r="H2" s="20" t="s">
        <v>109</v>
      </c>
      <c r="I2" s="20" t="s">
        <v>110</v>
      </c>
      <c r="J2" s="20" t="s">
        <v>111</v>
      </c>
      <c r="K2" s="20" t="s">
        <v>112</v>
      </c>
      <c r="L2" s="20" t="s">
        <v>113</v>
      </c>
      <c r="M2" s="20" t="s">
        <v>2</v>
      </c>
      <c r="N2" s="20" t="s">
        <v>114</v>
      </c>
      <c r="O2" s="20" t="s">
        <v>119</v>
      </c>
      <c r="P2" s="20" t="s">
        <v>115</v>
      </c>
      <c r="Q2" s="20" t="s">
        <v>116</v>
      </c>
      <c r="R2" s="20" t="s">
        <v>117</v>
      </c>
      <c r="S2" s="20" t="s">
        <v>118</v>
      </c>
      <c r="T2" s="21" t="s">
        <v>207</v>
      </c>
      <c r="U2" s="20" t="s">
        <v>208</v>
      </c>
      <c r="V2" s="22" t="s">
        <v>120</v>
      </c>
      <c r="W2" s="23" t="s">
        <v>121</v>
      </c>
      <c r="X2" s="24" t="s">
        <v>122</v>
      </c>
      <c r="Y2" s="24" t="s">
        <v>123</v>
      </c>
      <c r="Z2" s="25" t="s">
        <v>124</v>
      </c>
      <c r="AA2" s="25" t="s">
        <v>125</v>
      </c>
      <c r="AB2" s="25" t="s">
        <v>126</v>
      </c>
      <c r="AC2" s="26" t="s">
        <v>127</v>
      </c>
      <c r="AD2" s="23" t="s">
        <v>209</v>
      </c>
      <c r="AE2" s="24" t="s">
        <v>210</v>
      </c>
      <c r="AF2" s="24" t="s">
        <v>211</v>
      </c>
      <c r="AG2" s="24" t="s">
        <v>212</v>
      </c>
      <c r="AH2" s="24" t="s">
        <v>213</v>
      </c>
      <c r="AI2" s="25" t="s">
        <v>214</v>
      </c>
      <c r="AJ2" s="25" t="s">
        <v>215</v>
      </c>
      <c r="AK2" s="25" t="s">
        <v>216</v>
      </c>
      <c r="AL2" s="25" t="s">
        <v>217</v>
      </c>
      <c r="AM2" s="27" t="s">
        <v>218</v>
      </c>
      <c r="AN2" s="28" t="s">
        <v>128</v>
      </c>
      <c r="AO2" s="20" t="s">
        <v>129</v>
      </c>
      <c r="AP2" s="20" t="s">
        <v>130</v>
      </c>
      <c r="AQ2" s="20" t="s">
        <v>5</v>
      </c>
      <c r="AR2" s="20" t="s">
        <v>131</v>
      </c>
      <c r="AS2" s="29" t="s">
        <v>132</v>
      </c>
      <c r="AT2" s="20" t="s">
        <v>133</v>
      </c>
      <c r="AU2" s="20" t="s">
        <v>134</v>
      </c>
      <c r="AV2" s="20" t="s">
        <v>135</v>
      </c>
      <c r="AW2" s="20" t="s">
        <v>136</v>
      </c>
      <c r="AX2" s="33" t="s">
        <v>137</v>
      </c>
    </row>
    <row r="3" spans="1:51" customFormat="1" ht="24" x14ac:dyDescent="0.3">
      <c r="A3" s="95" t="s">
        <v>31</v>
      </c>
      <c r="B3" s="3" t="s">
        <v>518</v>
      </c>
      <c r="C3" s="4" t="s">
        <v>31</v>
      </c>
      <c r="D3" s="6">
        <v>45447</v>
      </c>
      <c r="E3" s="6"/>
      <c r="F3" s="6">
        <v>45474</v>
      </c>
      <c r="G3" s="6"/>
      <c r="H3" s="95" t="s">
        <v>519</v>
      </c>
      <c r="I3" s="5" t="s">
        <v>520</v>
      </c>
      <c r="J3" s="5">
        <v>10833486</v>
      </c>
      <c r="K3" s="4" t="s">
        <v>521</v>
      </c>
      <c r="L3" s="5">
        <v>1</v>
      </c>
      <c r="M3" s="4" t="s">
        <v>37</v>
      </c>
      <c r="N3" s="4" t="s">
        <v>76</v>
      </c>
      <c r="O3" s="6"/>
      <c r="P3" s="6" t="s">
        <v>52</v>
      </c>
      <c r="Q3" s="4"/>
      <c r="R3" s="4"/>
      <c r="S3" s="4"/>
      <c r="T3" s="6">
        <v>45485</v>
      </c>
      <c r="U3" s="87"/>
      <c r="V3" s="57"/>
      <c r="W3" s="4"/>
      <c r="X3" s="2"/>
      <c r="Y3" s="2"/>
      <c r="Z3" s="1"/>
      <c r="AA3" s="5"/>
      <c r="AB3" s="121"/>
      <c r="AC3" s="6"/>
      <c r="AD3" s="112"/>
      <c r="AE3" s="6"/>
      <c r="AF3" s="1">
        <f ca="1">IF(Tabla2[[#This Row],[FACTURACION ALMACENAJE]]="SI",0,IF(Tabla2[[#This Row],[DIAS GENERADOS ALMACENAJE]]&lt;=0,1,-1))</f>
        <v>1</v>
      </c>
      <c r="AG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 s="6"/>
      <c r="AI3" s="15"/>
      <c r="AJ3" s="6"/>
      <c r="AK3" s="1">
        <f ca="1">IF(Tabla2[[#This Row],[FACTURACION DEMORAS]]="SI",0,IF(Tabla2[[#This Row],[DIAS GENERADOS DEMORA]]&lt;=0,1,-1))</f>
        <v>1</v>
      </c>
      <c r="AL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 s="43"/>
      <c r="AN3" s="8"/>
      <c r="AO3" s="7"/>
      <c r="AP3" s="6"/>
      <c r="AQ3" s="9"/>
      <c r="AR3" s="8"/>
      <c r="AS3" s="15">
        <f>+Tabla2[[#This Row],[FECHA ATRAQUE]]-Tabla2[[#This Row],[ARRIBO A TRANSBORDO]]+1</f>
        <v>45486</v>
      </c>
      <c r="AT3" s="6"/>
      <c r="AU3" s="6"/>
      <c r="AV3" s="6"/>
      <c r="AW3" s="6"/>
      <c r="AX3" s="11">
        <v>-168</v>
      </c>
      <c r="AY3" s="120"/>
    </row>
    <row r="4" spans="1:51" customFormat="1" ht="71.25" customHeight="1" x14ac:dyDescent="0.3">
      <c r="A4" s="1" t="s">
        <v>465</v>
      </c>
      <c r="B4" s="3" t="s">
        <v>466</v>
      </c>
      <c r="C4" s="3" t="s">
        <v>31</v>
      </c>
      <c r="D4" s="6">
        <v>45729</v>
      </c>
      <c r="E4" s="6" t="s">
        <v>30</v>
      </c>
      <c r="F4" s="6">
        <v>45747</v>
      </c>
      <c r="G4" s="6" t="s">
        <v>143</v>
      </c>
      <c r="H4" s="95" t="s">
        <v>467</v>
      </c>
      <c r="I4" s="5" t="s">
        <v>468</v>
      </c>
      <c r="J4" s="5" t="s">
        <v>469</v>
      </c>
      <c r="K4" s="5" t="s">
        <v>470</v>
      </c>
      <c r="L4" s="5">
        <v>5</v>
      </c>
      <c r="M4" s="5" t="s">
        <v>28</v>
      </c>
      <c r="N4" s="5" t="s">
        <v>32</v>
      </c>
      <c r="O4" s="6">
        <v>45745</v>
      </c>
      <c r="P4" s="4" t="s">
        <v>9</v>
      </c>
      <c r="Q4" s="4" t="s">
        <v>471</v>
      </c>
      <c r="R4" s="6"/>
      <c r="S4" s="80" t="s">
        <v>472</v>
      </c>
      <c r="T4" s="13">
        <v>45744</v>
      </c>
      <c r="U4" s="87">
        <v>45760</v>
      </c>
      <c r="V4" s="57">
        <v>67</v>
      </c>
      <c r="W4" s="1">
        <v>0</v>
      </c>
      <c r="X4" s="2"/>
      <c r="Y4" s="2">
        <v>45721</v>
      </c>
      <c r="Z4" s="5">
        <v>0</v>
      </c>
      <c r="AA4" s="5" t="s">
        <v>143</v>
      </c>
      <c r="AB4" s="133">
        <v>45745</v>
      </c>
      <c r="AC4" s="6">
        <v>45747</v>
      </c>
      <c r="AD4" s="42">
        <v>5</v>
      </c>
      <c r="AE4" s="6"/>
      <c r="AF4" s="4">
        <v>-1</v>
      </c>
      <c r="AG4" s="15">
        <v>148</v>
      </c>
      <c r="AH4" s="6"/>
      <c r="AI4" s="6">
        <v>14</v>
      </c>
      <c r="AJ4" s="6"/>
      <c r="AK4" s="4">
        <v>-1</v>
      </c>
      <c r="AL4" s="15">
        <v>139</v>
      </c>
      <c r="AM4" s="43"/>
      <c r="AN4" s="8">
        <v>45700</v>
      </c>
      <c r="AO4" s="7" t="s">
        <v>262</v>
      </c>
      <c r="AP4" s="6">
        <v>45678</v>
      </c>
      <c r="AQ4" s="9" t="s">
        <v>25</v>
      </c>
      <c r="AR4" s="8">
        <v>45730</v>
      </c>
      <c r="AS4" s="127">
        <v>15</v>
      </c>
      <c r="AT4" s="6">
        <v>45749</v>
      </c>
      <c r="AU4" s="6">
        <v>45743</v>
      </c>
      <c r="AV4" s="6" t="s">
        <v>289</v>
      </c>
      <c r="AW4" s="6" t="s">
        <v>473</v>
      </c>
      <c r="AX4" s="11">
        <v>-168</v>
      </c>
      <c r="AY4" s="120"/>
    </row>
    <row r="5" spans="1:51" customFormat="1" ht="53.25" customHeight="1" x14ac:dyDescent="0.3">
      <c r="A5" s="95" t="s">
        <v>511</v>
      </c>
      <c r="B5" s="3" t="s">
        <v>512</v>
      </c>
      <c r="C5" s="4" t="s">
        <v>26</v>
      </c>
      <c r="D5" s="6" t="s">
        <v>30</v>
      </c>
      <c r="E5" s="6">
        <v>45789</v>
      </c>
      <c r="F5" s="6">
        <v>45789</v>
      </c>
      <c r="G5" s="6"/>
      <c r="H5" s="95" t="s">
        <v>513</v>
      </c>
      <c r="I5" s="5" t="s">
        <v>514</v>
      </c>
      <c r="J5" s="5" t="s">
        <v>515</v>
      </c>
      <c r="K5" s="4" t="s">
        <v>516</v>
      </c>
      <c r="L5" s="5">
        <v>1</v>
      </c>
      <c r="M5" s="4" t="s">
        <v>28</v>
      </c>
      <c r="N5" s="4" t="s">
        <v>32</v>
      </c>
      <c r="O5" s="6"/>
      <c r="P5" s="6" t="s">
        <v>9</v>
      </c>
      <c r="Q5" s="4" t="s">
        <v>9</v>
      </c>
      <c r="R5" s="4"/>
      <c r="S5" s="4" t="s">
        <v>517</v>
      </c>
      <c r="T5" s="6">
        <v>45795</v>
      </c>
      <c r="U5" s="87"/>
      <c r="V5" s="57"/>
      <c r="W5" s="4"/>
      <c r="X5" s="2"/>
      <c r="Y5" s="2"/>
      <c r="Z5" s="1"/>
      <c r="AA5" s="5"/>
      <c r="AB5" s="121"/>
      <c r="AC5" s="6"/>
      <c r="AD5" s="112"/>
      <c r="AE5" s="6"/>
      <c r="AF5" s="1">
        <f ca="1">IF(Tabla2[[#This Row],[FACTURACION ALMACENAJE]]="SI",0,IF(Tabla2[[#This Row],[DIAS GENERADOS ALMACENAJE]]&lt;=0,1,-1))</f>
        <v>1</v>
      </c>
      <c r="AG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 s="6"/>
      <c r="AI5" s="15"/>
      <c r="AJ5" s="6"/>
      <c r="AK5" s="1">
        <f ca="1">IF(Tabla2[[#This Row],[FACTURACION DEMORAS]]="SI",0,IF(Tabla2[[#This Row],[DIAS GENERADOS DEMORA]]&lt;=0,1,-1))</f>
        <v>1</v>
      </c>
      <c r="AL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 s="43"/>
      <c r="AN5" s="8"/>
      <c r="AO5" s="7"/>
      <c r="AP5" s="6"/>
      <c r="AQ5" s="9"/>
      <c r="AR5" s="8"/>
      <c r="AS5" s="15">
        <f>+Tabla2[[#This Row],[FECHA ATRAQUE]]-Tabla2[[#This Row],[ARRIBO A TRANSBORDO]]+1</f>
        <v>45796</v>
      </c>
      <c r="AT5" s="6"/>
      <c r="AU5" s="6"/>
      <c r="AV5" s="6">
        <v>45933</v>
      </c>
      <c r="AW5" s="6" t="s">
        <v>263</v>
      </c>
      <c r="AX5" s="11">
        <v>-168</v>
      </c>
      <c r="AY5" s="120"/>
    </row>
    <row r="6" spans="1:51" customFormat="1" ht="36" x14ac:dyDescent="0.3">
      <c r="A6" s="4"/>
      <c r="B6" s="1" t="s">
        <v>177</v>
      </c>
      <c r="C6" s="4" t="s">
        <v>26</v>
      </c>
      <c r="D6" s="6" t="s">
        <v>30</v>
      </c>
      <c r="E6" s="6"/>
      <c r="F6" s="6"/>
      <c r="G6" s="6"/>
      <c r="H6" s="14" t="s">
        <v>178</v>
      </c>
      <c r="I6" s="15" t="s">
        <v>179</v>
      </c>
      <c r="J6" s="4" t="s">
        <v>180</v>
      </c>
      <c r="K6" s="4" t="s">
        <v>181</v>
      </c>
      <c r="L6" s="4">
        <v>1</v>
      </c>
      <c r="M6" s="4" t="s">
        <v>28</v>
      </c>
      <c r="N6" s="4" t="s">
        <v>32</v>
      </c>
      <c r="O6" s="6">
        <v>45832</v>
      </c>
      <c r="P6" s="4" t="s">
        <v>9</v>
      </c>
      <c r="Q6" s="4" t="s">
        <v>9</v>
      </c>
      <c r="R6" s="6"/>
      <c r="S6" s="4" t="s">
        <v>182</v>
      </c>
      <c r="T6" s="16">
        <v>45877</v>
      </c>
      <c r="U6" s="16"/>
      <c r="V6" s="57">
        <f>Tabla2[[#This Row],[FECHA ATRAQUE]]-Tabla2[[#This Row],[ETD]]+1</f>
        <v>80</v>
      </c>
      <c r="W6" s="4">
        <v>0</v>
      </c>
      <c r="X6" s="1" t="s">
        <v>143</v>
      </c>
      <c r="Y6" s="6">
        <v>45838</v>
      </c>
      <c r="Z6" s="1">
        <f>IF(Tabla2[[#This Row],[¿FACTURADO?]]="SI",0,IF(Tabla2[[#This Row],[Columna1]]&gt;=4,1,-1))</f>
        <v>0</v>
      </c>
      <c r="AA6" s="1" t="s">
        <v>143</v>
      </c>
      <c r="AB6" s="6">
        <v>45878</v>
      </c>
      <c r="AC6" s="6">
        <v>45880</v>
      </c>
      <c r="AD6" s="34"/>
      <c r="AE6" s="35"/>
      <c r="AF6" s="36">
        <f ca="1">IF(Tabla2[[#This Row],[FACTURACION ALMACENAJE]]="SI",0,IF(Tabla2[[#This Row],[DIAS GENERADOS ALMACENAJE]]&lt;=0,1,-1))</f>
        <v>1</v>
      </c>
      <c r="AG6"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 s="35"/>
      <c r="AI6" s="37"/>
      <c r="AJ6" s="35"/>
      <c r="AK6" s="36">
        <f ca="1">IF(Tabla2[[#This Row],[FACTURACION DEMORAS]]="SI",0,IF(Tabla2[[#This Row],[DIAS GENERADOS DEMORA]]&lt;=0,1,-1))</f>
        <v>1</v>
      </c>
      <c r="AL6"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 s="38"/>
      <c r="AN6" s="17">
        <v>45807</v>
      </c>
      <c r="AO6" s="4" t="s">
        <v>183</v>
      </c>
      <c r="AP6" s="17">
        <v>45798</v>
      </c>
      <c r="AQ6" s="4" t="s">
        <v>25</v>
      </c>
      <c r="AR6" s="17">
        <v>45833</v>
      </c>
      <c r="AS6" s="15">
        <f>+Tabla2[[#This Row],[FECHA ATRAQUE]]-Tabla2[[#This Row],[ARRIBO A TRANSBORDO]]+1</f>
        <v>45</v>
      </c>
      <c r="AT6" s="6"/>
      <c r="AU6" s="6">
        <v>45835</v>
      </c>
      <c r="AV6" s="6"/>
      <c r="AW6" s="6" t="s">
        <v>145</v>
      </c>
      <c r="AX6" s="11">
        <f ca="1">Tabla2[[#This Row],[FECHA ATRAQUE]]-TODAY()</f>
        <v>-64</v>
      </c>
      <c r="AY6" s="120"/>
    </row>
    <row r="7" spans="1:51" customFormat="1" ht="36" x14ac:dyDescent="0.3">
      <c r="A7" s="4"/>
      <c r="B7" s="1" t="s">
        <v>184</v>
      </c>
      <c r="C7" s="4" t="s">
        <v>26</v>
      </c>
      <c r="D7" s="6" t="s">
        <v>30</v>
      </c>
      <c r="E7" s="6"/>
      <c r="F7" s="6"/>
      <c r="G7" s="6"/>
      <c r="H7" s="14" t="s">
        <v>178</v>
      </c>
      <c r="I7" s="15" t="s">
        <v>185</v>
      </c>
      <c r="J7" s="4" t="s">
        <v>186</v>
      </c>
      <c r="K7" s="4" t="s">
        <v>187</v>
      </c>
      <c r="L7" s="4">
        <v>1</v>
      </c>
      <c r="M7" s="4" t="s">
        <v>28</v>
      </c>
      <c r="N7" s="4" t="s">
        <v>32</v>
      </c>
      <c r="O7" s="6">
        <v>45832</v>
      </c>
      <c r="P7" s="4" t="s">
        <v>9</v>
      </c>
      <c r="Q7" s="4" t="s">
        <v>9</v>
      </c>
      <c r="R7" s="6"/>
      <c r="S7" s="4" t="s">
        <v>182</v>
      </c>
      <c r="T7" s="16">
        <v>45877</v>
      </c>
      <c r="U7" s="16"/>
      <c r="V7" s="57">
        <f>Tabla2[[#This Row],[FECHA ATRAQUE]]-Tabla2[[#This Row],[ETD]]+1</f>
        <v>79</v>
      </c>
      <c r="W7" s="4">
        <v>0</v>
      </c>
      <c r="X7" s="1" t="s">
        <v>143</v>
      </c>
      <c r="Y7" s="6">
        <v>45838</v>
      </c>
      <c r="Z7" s="1">
        <f>IF(Tabla2[[#This Row],[¿FACTURADO?]]="SI",0,IF(Tabla2[[#This Row],[Columna1]]&gt;=4,1,-1))</f>
        <v>0</v>
      </c>
      <c r="AA7" s="1" t="s">
        <v>143</v>
      </c>
      <c r="AB7" s="6">
        <v>45878</v>
      </c>
      <c r="AC7" s="6">
        <v>45880</v>
      </c>
      <c r="AD7" s="34"/>
      <c r="AE7" s="35"/>
      <c r="AF7" s="36">
        <f ca="1">IF(Tabla2[[#This Row],[FACTURACION ALMACENAJE]]="SI",0,IF(Tabla2[[#This Row],[DIAS GENERADOS ALMACENAJE]]&lt;=0,1,-1))</f>
        <v>1</v>
      </c>
      <c r="AG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7" s="35"/>
      <c r="AI7" s="37"/>
      <c r="AJ7" s="35"/>
      <c r="AK7" s="36">
        <f ca="1">IF(Tabla2[[#This Row],[FACTURACION DEMORAS]]="SI",0,IF(Tabla2[[#This Row],[DIAS GENERADOS DEMORA]]&lt;=0,1,-1))</f>
        <v>1</v>
      </c>
      <c r="AL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7" s="38"/>
      <c r="AN7" s="17">
        <v>45807</v>
      </c>
      <c r="AO7" s="4" t="s">
        <v>183</v>
      </c>
      <c r="AP7" s="17">
        <v>45799</v>
      </c>
      <c r="AQ7" s="4" t="s">
        <v>25</v>
      </c>
      <c r="AR7" s="17">
        <v>45833</v>
      </c>
      <c r="AS7" s="15">
        <f>+Tabla2[[#This Row],[FECHA ATRAQUE]]-Tabla2[[#This Row],[ARRIBO A TRANSBORDO]]+1</f>
        <v>45</v>
      </c>
      <c r="AT7" s="6"/>
      <c r="AU7" s="6">
        <v>45835</v>
      </c>
      <c r="AV7" s="6"/>
      <c r="AW7" s="6" t="s">
        <v>145</v>
      </c>
      <c r="AX7" s="11">
        <f ca="1">Tabla2[[#This Row],[FECHA ATRAQUE]]-TODAY()</f>
        <v>-64</v>
      </c>
      <c r="AY7" s="120"/>
    </row>
    <row r="8" spans="1:51" customFormat="1" ht="36" x14ac:dyDescent="0.3">
      <c r="A8" s="1"/>
      <c r="B8" s="3" t="s">
        <v>250</v>
      </c>
      <c r="C8" s="4" t="s">
        <v>26</v>
      </c>
      <c r="D8" s="6">
        <v>45806</v>
      </c>
      <c r="E8" s="6"/>
      <c r="F8" s="6"/>
      <c r="G8" s="6"/>
      <c r="H8" s="14" t="s">
        <v>251</v>
      </c>
      <c r="I8" s="5" t="s">
        <v>252</v>
      </c>
      <c r="J8" s="5" t="s">
        <v>253</v>
      </c>
      <c r="K8" s="5" t="s">
        <v>254</v>
      </c>
      <c r="L8" s="5">
        <v>1</v>
      </c>
      <c r="M8" s="4" t="s">
        <v>28</v>
      </c>
      <c r="N8" s="5" t="s">
        <v>32</v>
      </c>
      <c r="O8" s="6">
        <v>45798</v>
      </c>
      <c r="P8" s="4" t="s">
        <v>9</v>
      </c>
      <c r="Q8" s="4" t="s">
        <v>9</v>
      </c>
      <c r="R8" s="6"/>
      <c r="S8" s="44" t="s">
        <v>182</v>
      </c>
      <c r="T8" s="87">
        <v>45877</v>
      </c>
      <c r="U8" s="87"/>
      <c r="V8" s="57">
        <f>Tabla2[[#This Row],[FECHA ATRAQUE]]-Tabla2[[#This Row],[ETD]]+1</f>
        <v>92</v>
      </c>
      <c r="W8" s="4">
        <v>0</v>
      </c>
      <c r="X8" s="2" t="s">
        <v>143</v>
      </c>
      <c r="Y8" s="2">
        <v>45814</v>
      </c>
      <c r="Z8" s="1">
        <f>IF(Tabla2[[#This Row],[¿FACTURADO?]]="SI",0,IF(Tabla2[[#This Row],[Columna1]]&gt;=4,1,-1))</f>
        <v>0</v>
      </c>
      <c r="AA8" s="5" t="s">
        <v>143</v>
      </c>
      <c r="AB8" s="6">
        <v>45880</v>
      </c>
      <c r="AC8" s="6">
        <v>45880</v>
      </c>
      <c r="AD8" s="42"/>
      <c r="AE8" s="6"/>
      <c r="AF8" s="36">
        <f ca="1">IF(Tabla2[[#This Row],[FACTURACION ALMACENAJE]]="SI",0,IF(Tabla2[[#This Row],[DIAS GENERADOS ALMACENAJE]]&lt;=0,1,-1))</f>
        <v>1</v>
      </c>
      <c r="AG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8" s="6"/>
      <c r="AI8" s="6"/>
      <c r="AJ8" s="6"/>
      <c r="AK8" s="36">
        <f ca="1">IF(Tabla2[[#This Row],[FACTURACION DEMORAS]]="SI",0,IF(Tabla2[[#This Row],[DIAS GENERADOS DEMORA]]&lt;=0,1,-1))</f>
        <v>1</v>
      </c>
      <c r="AL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8" s="43"/>
      <c r="AN8" s="8">
        <v>45856</v>
      </c>
      <c r="AO8" s="7" t="s">
        <v>255</v>
      </c>
      <c r="AP8" s="6">
        <v>45786</v>
      </c>
      <c r="AQ8" s="9" t="s">
        <v>25</v>
      </c>
      <c r="AR8" s="8">
        <v>45833</v>
      </c>
      <c r="AS8" s="15">
        <f>+Tabla2[[#This Row],[FECHA ATRAQUE]]-Tabla2[[#This Row],[ARRIBO A TRANSBORDO]]+1</f>
        <v>45</v>
      </c>
      <c r="AT8" s="6"/>
      <c r="AU8" s="6">
        <v>45835</v>
      </c>
      <c r="AV8" s="6"/>
      <c r="AW8" s="6" t="s">
        <v>145</v>
      </c>
      <c r="AX8" s="11">
        <f ca="1">Tabla2[[#This Row],[FECHA ATRAQUE]]-TODAY()</f>
        <v>-64</v>
      </c>
      <c r="AY8" s="120"/>
    </row>
    <row r="9" spans="1:51" customFormat="1" ht="36" x14ac:dyDescent="0.3">
      <c r="A9" s="4"/>
      <c r="B9" s="3" t="s">
        <v>138</v>
      </c>
      <c r="C9" s="4" t="s">
        <v>26</v>
      </c>
      <c r="D9" s="6" t="s">
        <v>30</v>
      </c>
      <c r="E9" s="6"/>
      <c r="F9" s="6"/>
      <c r="G9" s="6"/>
      <c r="H9" s="14" t="s">
        <v>139</v>
      </c>
      <c r="I9" s="5" t="s">
        <v>140</v>
      </c>
      <c r="J9" s="5" t="s">
        <v>141</v>
      </c>
      <c r="K9" s="5" t="s">
        <v>142</v>
      </c>
      <c r="L9" s="5">
        <v>1</v>
      </c>
      <c r="M9" s="4" t="s">
        <v>28</v>
      </c>
      <c r="N9" s="5" t="s">
        <v>72</v>
      </c>
      <c r="O9" s="6">
        <v>45846</v>
      </c>
      <c r="P9" s="4" t="s">
        <v>9</v>
      </c>
      <c r="Q9" s="4" t="s">
        <v>9</v>
      </c>
      <c r="R9" s="6"/>
      <c r="S9" s="9" t="s">
        <v>172</v>
      </c>
      <c r="T9" s="87">
        <v>45880</v>
      </c>
      <c r="U9" s="87"/>
      <c r="V9" s="57">
        <f>Tabla2[[#This Row],[FECHA ATRAQUE]]-Tabla2[[#This Row],[ETD]]+1</f>
        <v>51</v>
      </c>
      <c r="W9" s="4">
        <v>0</v>
      </c>
      <c r="X9" s="2" t="s">
        <v>143</v>
      </c>
      <c r="Y9" s="2">
        <v>45843</v>
      </c>
      <c r="Z9" s="1">
        <f>IF(Tabla2[[#This Row],[¿FACTURADO?]]="SI",0,IF(Tabla2[[#This Row],[Columna1]]&gt;=4,1,-1))</f>
        <v>0</v>
      </c>
      <c r="AA9" s="5" t="s">
        <v>143</v>
      </c>
      <c r="AB9" s="6">
        <v>45880</v>
      </c>
      <c r="AC9" s="6">
        <v>45880</v>
      </c>
      <c r="AD9" s="34"/>
      <c r="AE9" s="35"/>
      <c r="AF9" s="36">
        <f ca="1">IF(Tabla2[[#This Row],[FACTURACION ALMACENAJE]]="SI",0,IF(Tabla2[[#This Row],[DIAS GENERADOS ALMACENAJE]]&lt;=0,1,-1))</f>
        <v>-1</v>
      </c>
      <c r="AG9"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62</v>
      </c>
      <c r="AH9" s="35"/>
      <c r="AI9" s="37"/>
      <c r="AJ9" s="35"/>
      <c r="AK9" s="36">
        <f ca="1">IF(Tabla2[[#This Row],[FACTURACION DEMORAS]]="SI",0,IF(Tabla2[[#This Row],[DIAS GENERADOS DEMORA]]&lt;=0,1,-1))</f>
        <v>-1</v>
      </c>
      <c r="AL9"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62</v>
      </c>
      <c r="AM9" s="38"/>
      <c r="AN9" s="8">
        <v>45842</v>
      </c>
      <c r="AO9" s="7" t="s">
        <v>144</v>
      </c>
      <c r="AP9" s="6">
        <v>45830</v>
      </c>
      <c r="AQ9" s="9" t="s">
        <v>25</v>
      </c>
      <c r="AR9" s="8">
        <v>45846</v>
      </c>
      <c r="AS9" s="15">
        <f>+Tabla2[[#This Row],[FECHA ATRAQUE]]-Tabla2[[#This Row],[ARRIBO A TRANSBORDO]]+1</f>
        <v>35</v>
      </c>
      <c r="AT9" s="6"/>
      <c r="AU9" s="6">
        <v>45869</v>
      </c>
      <c r="AV9" s="6"/>
      <c r="AW9" s="6" t="s">
        <v>145</v>
      </c>
      <c r="AX9" s="11">
        <f ca="1">Tabla2[[#This Row],[FECHA ATRAQUE]]-TODAY()</f>
        <v>-61</v>
      </c>
      <c r="AY9" s="120"/>
    </row>
    <row r="10" spans="1:51" customFormat="1" ht="36" x14ac:dyDescent="0.3">
      <c r="A10" s="4"/>
      <c r="B10" s="1" t="s">
        <v>188</v>
      </c>
      <c r="C10" s="4" t="s">
        <v>26</v>
      </c>
      <c r="D10" s="6" t="s">
        <v>30</v>
      </c>
      <c r="E10" s="6"/>
      <c r="F10" s="6"/>
      <c r="G10" s="6"/>
      <c r="H10" s="14" t="s">
        <v>178</v>
      </c>
      <c r="I10" s="15" t="s">
        <v>189</v>
      </c>
      <c r="J10" s="4" t="s">
        <v>190</v>
      </c>
      <c r="K10" s="4" t="s">
        <v>191</v>
      </c>
      <c r="L10" s="4">
        <v>1</v>
      </c>
      <c r="M10" s="4" t="s">
        <v>28</v>
      </c>
      <c r="N10" s="4" t="s">
        <v>72</v>
      </c>
      <c r="O10" s="6">
        <v>45868</v>
      </c>
      <c r="P10" s="4" t="s">
        <v>9</v>
      </c>
      <c r="Q10" s="4" t="s">
        <v>9</v>
      </c>
      <c r="R10" s="6"/>
      <c r="S10" s="6" t="s">
        <v>172</v>
      </c>
      <c r="T10" s="87">
        <v>45880</v>
      </c>
      <c r="U10" s="18"/>
      <c r="V10" s="57">
        <f>Tabla2[[#This Row],[FECHA ATRAQUE]]-Tabla2[[#This Row],[ETD]]+1</f>
        <v>73</v>
      </c>
      <c r="W10" s="4">
        <v>0</v>
      </c>
      <c r="X10" s="1" t="s">
        <v>143</v>
      </c>
      <c r="Y10" s="6">
        <v>45861</v>
      </c>
      <c r="Z10" s="1">
        <f>IF(Tabla2[[#This Row],[¿FACTURADO?]]="SI",0,IF(Tabla2[[#This Row],[Columna1]]&gt;=4,1,-1))</f>
        <v>0</v>
      </c>
      <c r="AA10" s="4" t="s">
        <v>143</v>
      </c>
      <c r="AB10" s="6">
        <v>45880</v>
      </c>
      <c r="AC10" s="6">
        <v>45880</v>
      </c>
      <c r="AD10" s="34"/>
      <c r="AE10" s="35"/>
      <c r="AF10" s="36">
        <f ca="1">IF(Tabla2[[#This Row],[FACTURACION ALMACENAJE]]="SI",0,IF(Tabla2[[#This Row],[DIAS GENERADOS ALMACENAJE]]&lt;=0,1,-1))</f>
        <v>-1</v>
      </c>
      <c r="AG10"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62</v>
      </c>
      <c r="AH10" s="35"/>
      <c r="AI10" s="37"/>
      <c r="AJ10" s="35"/>
      <c r="AK10" s="36">
        <f ca="1">IF(Tabla2[[#This Row],[FACTURACION DEMORAS]]="SI",0,IF(Tabla2[[#This Row],[DIAS GENERADOS DEMORA]]&lt;=0,1,-1))</f>
        <v>-1</v>
      </c>
      <c r="AL10"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62</v>
      </c>
      <c r="AM10" s="38"/>
      <c r="AN10" s="17">
        <v>45862</v>
      </c>
      <c r="AO10" s="4" t="s">
        <v>183</v>
      </c>
      <c r="AP10" s="17">
        <v>45808</v>
      </c>
      <c r="AQ10" s="4" t="s">
        <v>25</v>
      </c>
      <c r="AR10" s="17">
        <v>45848</v>
      </c>
      <c r="AS10" s="15">
        <f>+Tabla2[[#This Row],[FECHA ATRAQUE]]-Tabla2[[#This Row],[ARRIBO A TRANSBORDO]]+1</f>
        <v>33</v>
      </c>
      <c r="AT10" s="6"/>
      <c r="AU10" s="6">
        <v>45869</v>
      </c>
      <c r="AV10" s="6"/>
      <c r="AW10" s="6" t="s">
        <v>145</v>
      </c>
      <c r="AX10" s="11">
        <f ca="1">Tabla2[[#This Row],[FECHA ATRAQUE]]-TODAY()</f>
        <v>-61</v>
      </c>
      <c r="AY10" s="120"/>
    </row>
    <row r="11" spans="1:51" customFormat="1" ht="36" x14ac:dyDescent="0.3">
      <c r="A11" s="4"/>
      <c r="B11" s="3" t="s">
        <v>238</v>
      </c>
      <c r="C11" s="4" t="s">
        <v>26</v>
      </c>
      <c r="D11" s="6"/>
      <c r="E11" s="6"/>
      <c r="F11" s="6"/>
      <c r="G11" s="6"/>
      <c r="H11" s="14" t="s">
        <v>233</v>
      </c>
      <c r="I11" s="5" t="s">
        <v>239</v>
      </c>
      <c r="J11" s="5">
        <v>255712097</v>
      </c>
      <c r="K11" s="4" t="s">
        <v>240</v>
      </c>
      <c r="L11" s="5">
        <v>2</v>
      </c>
      <c r="M11" s="4" t="s">
        <v>28</v>
      </c>
      <c r="N11" s="5" t="s">
        <v>65</v>
      </c>
      <c r="O11" s="6"/>
      <c r="P11" s="4" t="s">
        <v>9</v>
      </c>
      <c r="Q11" s="4" t="s">
        <v>98</v>
      </c>
      <c r="R11" s="6"/>
      <c r="S11" s="10" t="s">
        <v>241</v>
      </c>
      <c r="T11" s="87">
        <v>45883</v>
      </c>
      <c r="U11" s="87"/>
      <c r="V11" s="57">
        <f>Tabla2[[#This Row],[FECHA ATRAQUE]]-Tabla2[[#This Row],[ETD]]+1</f>
        <v>41</v>
      </c>
      <c r="W11" s="4">
        <f>IF(Tabla2[[#This Row],[¿PRE ALERTARDO?]]="SI",0,IF(Tabla2[[#This Row],[Columna1]]&gt;=15,1,-1))</f>
        <v>0</v>
      </c>
      <c r="X11" s="2" t="s">
        <v>143</v>
      </c>
      <c r="Y11" s="2">
        <v>45871</v>
      </c>
      <c r="Z11" s="1">
        <f>IF(Tabla2[[#This Row],[¿FACTURADO?]]="SI",0,IF(Tabla2[[#This Row],[Columna1]]&gt;=4,1,-1))</f>
        <v>0</v>
      </c>
      <c r="AA11" s="5" t="s">
        <v>143</v>
      </c>
      <c r="AB11" s="6">
        <v>45884</v>
      </c>
      <c r="AC11" s="6">
        <v>45884</v>
      </c>
      <c r="AD11" s="34"/>
      <c r="AE11" s="35"/>
      <c r="AF11" s="36">
        <f ca="1">IF(Tabla2[[#This Row],[FACTURACION ALMACENAJE]]="SI",0,IF(Tabla2[[#This Row],[DIAS GENERADOS ALMACENAJE]]&lt;=0,1,-1))</f>
        <v>1</v>
      </c>
      <c r="AG11"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1" s="35"/>
      <c r="AI11" s="37"/>
      <c r="AJ11" s="35"/>
      <c r="AK11" s="36">
        <f ca="1">IF(Tabla2[[#This Row],[FACTURACION DEMORAS]]="SI",0,IF(Tabla2[[#This Row],[DIAS GENERADOS DEMORA]]&lt;=0,1,-1))</f>
        <v>1</v>
      </c>
      <c r="AL11"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11" s="38"/>
      <c r="AN11" s="8">
        <v>45870</v>
      </c>
      <c r="AO11" s="7" t="s">
        <v>237</v>
      </c>
      <c r="AP11" s="6">
        <v>45843</v>
      </c>
      <c r="AQ11" s="9" t="s">
        <v>25</v>
      </c>
      <c r="AR11" s="8">
        <v>45871</v>
      </c>
      <c r="AS11" s="15">
        <f>+Tabla2[[#This Row],[FECHA ATRAQUE]]-Tabla2[[#This Row],[ARRIBO A TRANSBORDO]]+1</f>
        <v>13</v>
      </c>
      <c r="AT11" s="6"/>
      <c r="AU11" s="6">
        <v>45878</v>
      </c>
      <c r="AV11" s="6"/>
      <c r="AW11" s="6" t="s">
        <v>145</v>
      </c>
      <c r="AX11" s="11">
        <f ca="1">Tabla2[[#This Row],[FECHA ATRAQUE]]-TODAY()</f>
        <v>-58</v>
      </c>
      <c r="AY11" s="120"/>
    </row>
    <row r="12" spans="1:51" customFormat="1" ht="24" x14ac:dyDescent="0.3">
      <c r="A12" s="4"/>
      <c r="B12" s="1" t="s">
        <v>243</v>
      </c>
      <c r="C12" s="4" t="s">
        <v>26</v>
      </c>
      <c r="D12" s="6"/>
      <c r="E12" s="6"/>
      <c r="F12" s="6"/>
      <c r="G12" s="6"/>
      <c r="H12" s="14" t="s">
        <v>233</v>
      </c>
      <c r="I12" s="4"/>
      <c r="J12" s="4" t="s">
        <v>244</v>
      </c>
      <c r="K12" s="4" t="s">
        <v>30</v>
      </c>
      <c r="L12" s="5"/>
      <c r="M12" s="4" t="s">
        <v>8</v>
      </c>
      <c r="N12" s="4" t="s">
        <v>51</v>
      </c>
      <c r="O12" s="6"/>
      <c r="P12" s="4" t="s">
        <v>24</v>
      </c>
      <c r="Q12" s="4" t="s">
        <v>24</v>
      </c>
      <c r="R12" s="6"/>
      <c r="S12" s="6"/>
      <c r="T12" s="18">
        <v>45883</v>
      </c>
      <c r="U12" s="87"/>
      <c r="V12" s="57">
        <f>Tabla2[[#This Row],[FECHA ATRAQUE]]-Tabla2[[#This Row],[ETD]]+1</f>
        <v>4</v>
      </c>
      <c r="W12" s="4">
        <f>IF(Tabla2[[#This Row],[¿PRE ALERTARDO?]]="SI",0,IF(Tabla2[[#This Row],[Columna1]]&gt;=15,1,-1))</f>
        <v>0</v>
      </c>
      <c r="X12" s="2" t="s">
        <v>143</v>
      </c>
      <c r="Y12" s="2">
        <v>45880</v>
      </c>
      <c r="Z12" s="1">
        <f>IF(Tabla2[[#This Row],[¿FACTURADO?]]="SI",0,IF(Tabla2[[#This Row],[Columna1]]&gt;=4,1,-1))</f>
        <v>0</v>
      </c>
      <c r="AA12" s="5" t="s">
        <v>143</v>
      </c>
      <c r="AB12" s="6">
        <v>45884</v>
      </c>
      <c r="AC12" s="6">
        <v>45884</v>
      </c>
      <c r="AD12" s="42"/>
      <c r="AE12" s="6"/>
      <c r="AF12" s="36">
        <f ca="1">IF(Tabla2[[#This Row],[FACTURACION ALMACENAJE]]="SI",0,IF(Tabla2[[#This Row],[DIAS GENERADOS ALMACENAJE]]&lt;=0,1,-1))</f>
        <v>1</v>
      </c>
      <c r="AG1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2" s="6"/>
      <c r="AI12" s="6"/>
      <c r="AJ12" s="6"/>
      <c r="AK12" s="36">
        <f ca="1">IF(Tabla2[[#This Row],[FACTURACION DEMORAS]]="SI",0,IF(Tabla2[[#This Row],[DIAS GENERADOS DEMORA]]&lt;=0,1,-1))</f>
        <v>1</v>
      </c>
      <c r="AL1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12" s="43"/>
      <c r="AN12" s="17">
        <v>45877</v>
      </c>
      <c r="AO12" s="4" t="s">
        <v>245</v>
      </c>
      <c r="AP12" s="6">
        <v>45880</v>
      </c>
      <c r="AQ12" s="9"/>
      <c r="AR12" s="8"/>
      <c r="AS12" s="15">
        <f>+Tabla2[[#This Row],[FECHA ATRAQUE]]-Tabla2[[#This Row],[ARRIBO A TRANSBORDO]]+1</f>
        <v>45884</v>
      </c>
      <c r="AT12" s="6"/>
      <c r="AU12" s="6"/>
      <c r="AV12" s="6"/>
      <c r="AW12" s="6" t="s">
        <v>145</v>
      </c>
      <c r="AX12" s="11">
        <f ca="1">Tabla2[[#This Row],[FECHA ATRAQUE]]-TODAY()</f>
        <v>-58</v>
      </c>
      <c r="AY12" s="120"/>
    </row>
    <row r="13" spans="1:51" customFormat="1" ht="24" x14ac:dyDescent="0.3">
      <c r="A13" s="46"/>
      <c r="B13" s="3" t="s">
        <v>230</v>
      </c>
      <c r="C13" s="4" t="s">
        <v>26</v>
      </c>
      <c r="D13" s="6">
        <v>45880</v>
      </c>
      <c r="E13" s="6"/>
      <c r="F13" s="6"/>
      <c r="G13" s="6"/>
      <c r="H13" s="14" t="s">
        <v>231</v>
      </c>
      <c r="I13" s="5" t="s">
        <v>246</v>
      </c>
      <c r="J13" s="5">
        <v>256833043</v>
      </c>
      <c r="K13" s="4" t="s">
        <v>247</v>
      </c>
      <c r="L13" s="5">
        <v>2</v>
      </c>
      <c r="M13" s="4" t="s">
        <v>28</v>
      </c>
      <c r="N13" s="4" t="s">
        <v>65</v>
      </c>
      <c r="O13" s="6"/>
      <c r="P13" s="4" t="s">
        <v>86</v>
      </c>
      <c r="Q13" s="4" t="s">
        <v>98</v>
      </c>
      <c r="R13" s="6"/>
      <c r="S13" s="9" t="s">
        <v>248</v>
      </c>
      <c r="T13" s="87">
        <v>45883</v>
      </c>
      <c r="U13" s="87"/>
      <c r="V13" s="57">
        <f>Tabla2[[#This Row],[FECHA ATRAQUE]]-Tabla2[[#This Row],[ETD]]+1</f>
        <v>18</v>
      </c>
      <c r="W13" s="4">
        <f>IF(Tabla2[[#This Row],[¿PRE ALERTARDO?]]="SI",0,IF(Tabla2[[#This Row],[Columna1]]&gt;=15,1,-1))</f>
        <v>0</v>
      </c>
      <c r="X13" s="2" t="s">
        <v>143</v>
      </c>
      <c r="Y13" s="2">
        <v>45880</v>
      </c>
      <c r="Z13" s="1">
        <f>IF(Tabla2[[#This Row],[¿FACTURADO?]]="SI",0,IF(Tabla2[[#This Row],[Columna1]]&gt;=4,1,-1))</f>
        <v>0</v>
      </c>
      <c r="AA13" s="5" t="s">
        <v>143</v>
      </c>
      <c r="AB13" s="6">
        <v>45883</v>
      </c>
      <c r="AC13" s="6">
        <v>45883</v>
      </c>
      <c r="AD13" s="34"/>
      <c r="AE13" s="35"/>
      <c r="AF13" s="36">
        <f ca="1">IF(Tabla2[[#This Row],[FACTURACION ALMACENAJE]]="SI",0,IF(Tabla2[[#This Row],[DIAS GENERADOS ALMACENAJE]]&lt;=0,1,-1))</f>
        <v>1</v>
      </c>
      <c r="AG13"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3" s="35"/>
      <c r="AI13" s="37"/>
      <c r="AJ13" s="35"/>
      <c r="AK13" s="36">
        <f ca="1">IF(Tabla2[[#This Row],[FACTURACION DEMORAS]]="SI",0,IF(Tabla2[[#This Row],[DIAS GENERADOS DEMORA]]&lt;=0,1,-1))</f>
        <v>1</v>
      </c>
      <c r="AL13"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13" s="38"/>
      <c r="AN13" s="8">
        <v>45878</v>
      </c>
      <c r="AO13" s="155" t="s">
        <v>249</v>
      </c>
      <c r="AP13" s="6">
        <v>45866</v>
      </c>
      <c r="AQ13" s="9" t="s">
        <v>30</v>
      </c>
      <c r="AR13" s="8"/>
      <c r="AS13" s="15">
        <f>+Tabla2[[#This Row],[FECHA ATRAQUE]]-Tabla2[[#This Row],[ARRIBO A TRANSBORDO]]+1</f>
        <v>45884</v>
      </c>
      <c r="AT13" s="6"/>
      <c r="AU13" s="6"/>
      <c r="AV13" s="6"/>
      <c r="AW13" s="6" t="s">
        <v>145</v>
      </c>
      <c r="AX13" s="11">
        <f ca="1">Tabla2[[#This Row],[FECHA ATRAQUE]]-TODAY()</f>
        <v>-58</v>
      </c>
      <c r="AY13" s="120"/>
    </row>
    <row r="14" spans="1:51" customFormat="1" ht="36" x14ac:dyDescent="0.3">
      <c r="A14" s="4"/>
      <c r="B14" s="1" t="s">
        <v>256</v>
      </c>
      <c r="C14" s="4" t="s">
        <v>26</v>
      </c>
      <c r="D14" s="6"/>
      <c r="E14" s="6"/>
      <c r="F14" s="6" t="s">
        <v>257</v>
      </c>
      <c r="G14" s="6"/>
      <c r="H14" s="14" t="s">
        <v>258</v>
      </c>
      <c r="I14" s="15" t="s">
        <v>259</v>
      </c>
      <c r="J14" s="4" t="s">
        <v>260</v>
      </c>
      <c r="K14" s="4" t="s">
        <v>261</v>
      </c>
      <c r="L14" s="4">
        <v>1</v>
      </c>
      <c r="M14" s="4" t="s">
        <v>28</v>
      </c>
      <c r="N14" s="4" t="s">
        <v>32</v>
      </c>
      <c r="O14" s="6"/>
      <c r="P14" s="4" t="s">
        <v>9</v>
      </c>
      <c r="Q14" s="4" t="s">
        <v>9</v>
      </c>
      <c r="R14" s="6"/>
      <c r="S14" s="6" t="s">
        <v>229</v>
      </c>
      <c r="T14" s="18">
        <v>45885</v>
      </c>
      <c r="U14" s="18"/>
      <c r="V14" s="57">
        <f>Tabla2[[#This Row],[FECHA ATRAQUE]]-Tabla2[[#This Row],[ETD]]+1</f>
        <v>56</v>
      </c>
      <c r="W14" s="4">
        <f>IF(Tabla2[[#This Row],[¿PRE ALERTARDO?]]="SI",0,IF(Tabla2[[#This Row],[Columna1]]&gt;=15,1,-1))</f>
        <v>0</v>
      </c>
      <c r="X14" s="1" t="s">
        <v>143</v>
      </c>
      <c r="Y14" s="6">
        <v>45871</v>
      </c>
      <c r="Z14" s="1">
        <f>IF(Tabla2[[#This Row],[¿FACTURADO?]]="SI",0,IF(Tabla2[[#This Row],[Columna1]]&gt;=4,1,-1))</f>
        <v>0</v>
      </c>
      <c r="AA14" s="1" t="s">
        <v>143</v>
      </c>
      <c r="AB14" s="6">
        <v>45883</v>
      </c>
      <c r="AC14" s="6"/>
      <c r="AD14" s="34"/>
      <c r="AE14" s="35"/>
      <c r="AF14" s="36">
        <f ca="1">IF(Tabla2[[#This Row],[FACTURACION ALMACENAJE]]="SI",0,IF(Tabla2[[#This Row],[DIAS GENERADOS ALMACENAJE]]&lt;=0,1,-1))</f>
        <v>1</v>
      </c>
      <c r="AG1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4" s="35"/>
      <c r="AI14" s="37"/>
      <c r="AJ14" s="35"/>
      <c r="AK14" s="36">
        <f ca="1">IF(Tabla2[[#This Row],[FACTURACION DEMORAS]]="SI",0,IF(Tabla2[[#This Row],[DIAS GENERADOS DEMORA]]&lt;=0,1,-1))</f>
        <v>1</v>
      </c>
      <c r="AL1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14" s="38"/>
      <c r="AN14" s="17"/>
      <c r="AO14" s="4" t="s">
        <v>262</v>
      </c>
      <c r="AP14" s="17">
        <v>45830</v>
      </c>
      <c r="AQ14" s="9" t="s">
        <v>25</v>
      </c>
      <c r="AR14" s="17">
        <v>45854</v>
      </c>
      <c r="AS14" s="15">
        <f>+Tabla2[[#This Row],[FECHA ATRAQUE]]-Tabla2[[#This Row],[ARRIBO A TRANSBORDO]]+1</f>
        <v>32</v>
      </c>
      <c r="AT14" s="6"/>
      <c r="AU14" s="6"/>
      <c r="AV14" s="6"/>
      <c r="AW14" s="6" t="s">
        <v>263</v>
      </c>
      <c r="AX14" s="156">
        <f ca="1">Tabla2[[#This Row],[FECHA ATRAQUE]]-TODAY()</f>
        <v>-56</v>
      </c>
      <c r="AY14" s="120"/>
    </row>
    <row r="15" spans="1:51" ht="36" x14ac:dyDescent="0.25">
      <c r="A15" s="4"/>
      <c r="B15" s="1" t="s">
        <v>197</v>
      </c>
      <c r="C15" s="4" t="s">
        <v>26</v>
      </c>
      <c r="D15" s="6" t="s">
        <v>30</v>
      </c>
      <c r="E15" s="6"/>
      <c r="F15" s="6"/>
      <c r="G15" s="6"/>
      <c r="H15" s="14" t="s">
        <v>178</v>
      </c>
      <c r="I15" s="15" t="s">
        <v>198</v>
      </c>
      <c r="J15" s="4" t="s">
        <v>199</v>
      </c>
      <c r="K15" s="4" t="s">
        <v>200</v>
      </c>
      <c r="L15" s="4">
        <v>1</v>
      </c>
      <c r="M15" s="4" t="s">
        <v>28</v>
      </c>
      <c r="N15" s="4" t="s">
        <v>32</v>
      </c>
      <c r="O15" s="6">
        <v>45818</v>
      </c>
      <c r="P15" s="4" t="s">
        <v>9</v>
      </c>
      <c r="Q15" s="4" t="s">
        <v>9</v>
      </c>
      <c r="R15" s="6">
        <v>45887</v>
      </c>
      <c r="S15" s="9" t="s">
        <v>229</v>
      </c>
      <c r="T15" s="16">
        <v>45885</v>
      </c>
      <c r="U15" s="18">
        <v>45886</v>
      </c>
      <c r="V15" s="57">
        <f>Tabla2[[#This Row],[FECHA ATRAQUE]]-Tabla2[[#This Row],[ETD]]+1</f>
        <v>64</v>
      </c>
      <c r="W15" s="4">
        <f>IF(Tabla2[[#This Row],[¿PRE ALERTARDO?]]="SI",0,IF(Tabla2[[#This Row],[Columna1]]&gt;=15,1,-1))</f>
        <v>0</v>
      </c>
      <c r="X15" s="1" t="s">
        <v>143</v>
      </c>
      <c r="Y15" s="6">
        <v>45861</v>
      </c>
      <c r="Z15" s="1">
        <f>IF(Tabla2[[#This Row],[¿FACTURADO?]]="SI",0,IF(Tabla2[[#This Row],[Columna1]]&gt;=4,1,-1))</f>
        <v>0</v>
      </c>
      <c r="AA15" s="1" t="s">
        <v>143</v>
      </c>
      <c r="AB15" s="6">
        <v>45883</v>
      </c>
      <c r="AC15" s="6">
        <v>45883</v>
      </c>
      <c r="AD15" s="34">
        <v>5</v>
      </c>
      <c r="AE15" s="35">
        <v>45890</v>
      </c>
      <c r="AF15" s="36">
        <f ca="1">IF(Tabla2[[#This Row],[FACTURACION ALMACENAJE]]="SI",0,IF(Tabla2[[#This Row],[DIAS GENERADOS ALMACENAJE]]&lt;=0,1,-1))</f>
        <v>1</v>
      </c>
      <c r="AG15"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5" s="35"/>
      <c r="AI15" s="37"/>
      <c r="AJ15" s="35"/>
      <c r="AK15" s="36">
        <f ca="1">IF(Tabla2[[#This Row],[FACTURACION DEMORAS]]="SI",0,IF(Tabla2[[#This Row],[DIAS GENERADOS DEMORA]]&lt;=0,1,-1))</f>
        <v>-1</v>
      </c>
      <c r="AL15"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56</v>
      </c>
      <c r="AM15" s="38"/>
      <c r="AN15" s="17">
        <v>45842</v>
      </c>
      <c r="AO15" s="4" t="s">
        <v>201</v>
      </c>
      <c r="AP15" s="17">
        <v>45822</v>
      </c>
      <c r="AQ15" s="4" t="s">
        <v>25</v>
      </c>
      <c r="AR15" s="17">
        <v>45854</v>
      </c>
      <c r="AS15" s="15">
        <f>+Tabla2[[#This Row],[FECHA ATRAQUE]]-Tabla2[[#This Row],[ARRIBO A TRANSBORDO]]+1</f>
        <v>32</v>
      </c>
      <c r="AT15" s="6"/>
      <c r="AU15" s="6">
        <v>45870</v>
      </c>
      <c r="AV15" s="6"/>
      <c r="AW15" s="6" t="s">
        <v>145</v>
      </c>
      <c r="AX15" s="11">
        <f ca="1">Tabla2[[#This Row],[FECHA ATRAQUE]]-TODAY()</f>
        <v>-56</v>
      </c>
    </row>
    <row r="16" spans="1:51" customFormat="1" ht="48" x14ac:dyDescent="0.3">
      <c r="A16" s="4"/>
      <c r="B16" s="3" t="s">
        <v>232</v>
      </c>
      <c r="C16" s="4" t="s">
        <v>26</v>
      </c>
      <c r="D16" s="6"/>
      <c r="E16" s="6"/>
      <c r="F16" s="6"/>
      <c r="G16" s="6"/>
      <c r="H16" s="14" t="s">
        <v>233</v>
      </c>
      <c r="I16" s="5" t="s">
        <v>234</v>
      </c>
      <c r="J16" s="5" t="s">
        <v>235</v>
      </c>
      <c r="K16" s="4" t="s">
        <v>236</v>
      </c>
      <c r="L16" s="5">
        <v>4</v>
      </c>
      <c r="M16" s="4" t="s">
        <v>28</v>
      </c>
      <c r="N16" s="5" t="s">
        <v>72</v>
      </c>
      <c r="O16" s="6"/>
      <c r="P16" s="4" t="s">
        <v>9</v>
      </c>
      <c r="Q16" s="4" t="s">
        <v>98</v>
      </c>
      <c r="R16" s="6"/>
      <c r="S16" s="9" t="s">
        <v>171</v>
      </c>
      <c r="T16" s="16">
        <v>45885</v>
      </c>
      <c r="U16" s="87"/>
      <c r="V16" s="57">
        <f>Tabla2[[#This Row],[FECHA ATRAQUE]]-Tabla2[[#This Row],[ETD]]+1</f>
        <v>40</v>
      </c>
      <c r="W16" s="4">
        <f>IF(Tabla2[[#This Row],[¿PRE ALERTARDO?]]="SI",0,IF(Tabla2[[#This Row],[Columna1]]&gt;=15,1,-1))</f>
        <v>0</v>
      </c>
      <c r="X16" s="2" t="s">
        <v>143</v>
      </c>
      <c r="Y16" s="2">
        <v>45871</v>
      </c>
      <c r="Z16" s="1">
        <f>IF(Tabla2[[#This Row],[¿FACTURADO?]]="SI",0,IF(Tabla2[[#This Row],[Columna1]]&gt;=4,1,-1))</f>
        <v>0</v>
      </c>
      <c r="AA16" s="5" t="s">
        <v>143</v>
      </c>
      <c r="AB16" s="6">
        <v>45887</v>
      </c>
      <c r="AC16" s="6">
        <v>45887</v>
      </c>
      <c r="AD16" s="34"/>
      <c r="AE16" s="35"/>
      <c r="AF16" s="36">
        <f ca="1">IF(Tabla2[[#This Row],[FACTURACION ALMACENAJE]]="SI",0,IF(Tabla2[[#This Row],[DIAS GENERADOS ALMACENAJE]]&lt;=0,1,-1))</f>
        <v>-1</v>
      </c>
      <c r="AG16"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57</v>
      </c>
      <c r="AH16" s="35"/>
      <c r="AI16" s="37"/>
      <c r="AJ16" s="35"/>
      <c r="AK16" s="36">
        <f ca="1">IF(Tabla2[[#This Row],[FACTURACION DEMORAS]]="SI",0,IF(Tabla2[[#This Row],[DIAS GENERADOS DEMORA]]&lt;=0,1,-1))</f>
        <v>-1</v>
      </c>
      <c r="AL16"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57</v>
      </c>
      <c r="AM16" s="38"/>
      <c r="AN16" s="8">
        <v>45870</v>
      </c>
      <c r="AO16" s="7" t="s">
        <v>237</v>
      </c>
      <c r="AP16" s="6">
        <v>45846</v>
      </c>
      <c r="AQ16" s="9" t="s">
        <v>25</v>
      </c>
      <c r="AR16" s="8">
        <v>45867</v>
      </c>
      <c r="AS16" s="15">
        <f>+Tabla2[[#This Row],[FECHA ATRAQUE]]-Tabla2[[#This Row],[ARRIBO A TRANSBORDO]]+1</f>
        <v>19</v>
      </c>
      <c r="AT16" s="6"/>
      <c r="AU16" s="6"/>
      <c r="AV16" s="6"/>
      <c r="AW16" s="6" t="s">
        <v>145</v>
      </c>
      <c r="AX16" s="12">
        <f ca="1">Tabla2[[#This Row],[FECHA ATRAQUE]]-TODAY()</f>
        <v>-56</v>
      </c>
      <c r="AY16" s="120"/>
    </row>
    <row r="17" spans="1:51" customFormat="1" ht="36" x14ac:dyDescent="0.3">
      <c r="A17" s="4"/>
      <c r="B17" s="40" t="s">
        <v>165</v>
      </c>
      <c r="C17" s="4" t="s">
        <v>26</v>
      </c>
      <c r="D17" s="41" t="s">
        <v>30</v>
      </c>
      <c r="E17" s="6"/>
      <c r="F17" s="6"/>
      <c r="G17" s="6"/>
      <c r="H17" s="14" t="s">
        <v>139</v>
      </c>
      <c r="I17" s="5" t="s">
        <v>174</v>
      </c>
      <c r="J17" s="5" t="s">
        <v>173</v>
      </c>
      <c r="K17" s="4" t="s">
        <v>175</v>
      </c>
      <c r="L17" s="5">
        <v>3</v>
      </c>
      <c r="M17" s="5" t="s">
        <v>28</v>
      </c>
      <c r="N17" s="5" t="s">
        <v>72</v>
      </c>
      <c r="O17" s="6">
        <v>45866</v>
      </c>
      <c r="P17" s="4" t="s">
        <v>9</v>
      </c>
      <c r="Q17" s="4" t="s">
        <v>9</v>
      </c>
      <c r="R17" s="6"/>
      <c r="S17" s="9" t="s">
        <v>171</v>
      </c>
      <c r="T17" s="16">
        <v>45885</v>
      </c>
      <c r="U17" s="87"/>
      <c r="V17" s="57">
        <f>Tabla2[[#This Row],[FECHA ATRAQUE]]-Tabla2[[#This Row],[ETD]]+1</f>
        <v>54</v>
      </c>
      <c r="W17" s="4">
        <f>IF(Tabla2[[#This Row],[¿PRE ALERTARDO?]]="SI",0,IF(Tabla2[[#This Row],[Columna1]]&gt;=15,1,-1))</f>
        <v>0</v>
      </c>
      <c r="X17" s="2" t="s">
        <v>143</v>
      </c>
      <c r="Y17" s="2">
        <v>45866</v>
      </c>
      <c r="Z17" s="1">
        <f>IF(Tabla2[[#This Row],[¿FACTURADO?]]="SI",0,IF(Tabla2[[#This Row],[Columna1]]&gt;=4,1,-1))</f>
        <v>0</v>
      </c>
      <c r="AA17" s="5" t="s">
        <v>143</v>
      </c>
      <c r="AB17" s="6">
        <v>45883</v>
      </c>
      <c r="AC17" s="6">
        <v>45883</v>
      </c>
      <c r="AD17" s="37">
        <v>5</v>
      </c>
      <c r="AE17" s="35">
        <v>45891</v>
      </c>
      <c r="AF17" s="36">
        <f ca="1">IF(Tabla2[[#This Row],[FACTURACION ALMACENAJE]]="SI",0,IF(Tabla2[[#This Row],[DIAS GENERADOS ALMACENAJE]]&lt;=0,1,-1))</f>
        <v>-1</v>
      </c>
      <c r="AG1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2</v>
      </c>
      <c r="AH17" s="35"/>
      <c r="AI17" s="37"/>
      <c r="AJ17" s="35"/>
      <c r="AK17" s="36">
        <f ca="1">IF(Tabla2[[#This Row],[FACTURACION DEMORAS]]="SI",0,IF(Tabla2[[#This Row],[DIAS GENERADOS DEMORA]]&lt;=0,1,-1))</f>
        <v>-1</v>
      </c>
      <c r="AL1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57</v>
      </c>
      <c r="AM17" s="35"/>
      <c r="AN17" s="8">
        <v>45863</v>
      </c>
      <c r="AO17" s="7" t="s">
        <v>176</v>
      </c>
      <c r="AP17" s="6">
        <v>45832</v>
      </c>
      <c r="AQ17" s="9" t="s">
        <v>25</v>
      </c>
      <c r="AR17" s="8">
        <v>45855</v>
      </c>
      <c r="AS17" s="15">
        <f>+Tabla2[[#This Row],[FECHA ATRAQUE]]-Tabla2[[#This Row],[ARRIBO A TRANSBORDO]]+1</f>
        <v>31</v>
      </c>
      <c r="AT17" s="6"/>
      <c r="AU17" s="6">
        <v>45877</v>
      </c>
      <c r="AV17" s="6"/>
      <c r="AW17" s="6" t="s">
        <v>145</v>
      </c>
      <c r="AX17" s="11">
        <f ca="1">Tabla2[[#This Row],[FECHA ATRAQUE]]-TODAY()</f>
        <v>-56</v>
      </c>
      <c r="AY17" s="120"/>
    </row>
    <row r="18" spans="1:51" s="39" customFormat="1" ht="36" x14ac:dyDescent="0.3">
      <c r="A18" s="1"/>
      <c r="B18" s="3" t="s">
        <v>414</v>
      </c>
      <c r="C18" s="5" t="s">
        <v>26</v>
      </c>
      <c r="D18" s="6" t="s">
        <v>30</v>
      </c>
      <c r="E18" s="6">
        <v>45883</v>
      </c>
      <c r="F18" s="6">
        <v>45882</v>
      </c>
      <c r="G18" s="6" t="s">
        <v>143</v>
      </c>
      <c r="H18" s="14" t="s">
        <v>290</v>
      </c>
      <c r="I18" s="5" t="s">
        <v>426</v>
      </c>
      <c r="J18" s="5" t="s">
        <v>427</v>
      </c>
      <c r="K18" s="4" t="s">
        <v>428</v>
      </c>
      <c r="L18" s="5">
        <v>2</v>
      </c>
      <c r="M18" s="5" t="s">
        <v>28</v>
      </c>
      <c r="N18" s="5" t="s">
        <v>72</v>
      </c>
      <c r="O18" s="6"/>
      <c r="P18" s="4" t="s">
        <v>9</v>
      </c>
      <c r="Q18" s="4" t="s">
        <v>9</v>
      </c>
      <c r="R18" s="6"/>
      <c r="S18" s="44" t="s">
        <v>171</v>
      </c>
      <c r="T18" s="2">
        <v>45887</v>
      </c>
      <c r="U18" s="2">
        <v>45887</v>
      </c>
      <c r="V18" s="57">
        <f>Tabla2[[#This Row],[FECHA ATRAQUE]]-Tabla2[[#This Row],[ETD]]+1</f>
        <v>56</v>
      </c>
      <c r="W18" s="4">
        <f>IF(Tabla2[[#This Row],[¿PRE ALERTARDO?]]="SI",0,IF(Tabla2[[#This Row],[Columna1]]&gt;=15,1,-1))</f>
        <v>0</v>
      </c>
      <c r="X18" s="2" t="s">
        <v>143</v>
      </c>
      <c r="Y18" s="2">
        <v>45870</v>
      </c>
      <c r="Z18" s="1">
        <f>IF(Tabla2[[#This Row],[¿FACTURADO?]]="SI",0,IF(Tabla2[[#This Row],[Columna1]]&gt;=4,1,-1))</f>
        <v>0</v>
      </c>
      <c r="AA18" s="5" t="s">
        <v>143</v>
      </c>
      <c r="AB18" s="6">
        <v>45881</v>
      </c>
      <c r="AC18" s="6">
        <v>45881</v>
      </c>
      <c r="AD18" s="15">
        <v>7</v>
      </c>
      <c r="AE18" s="6">
        <v>45897</v>
      </c>
      <c r="AF18" s="1">
        <f>IF(Tabla2[[#This Row],[FACTURACION ALMACENAJE]]="SI",0,IF(Tabla2[[#This Row],[DIAS GENERADOS ALMACENAJE]]&lt;=0,1,-1))</f>
        <v>0</v>
      </c>
      <c r="AG1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4</v>
      </c>
      <c r="AH18" s="6" t="s">
        <v>143</v>
      </c>
      <c r="AI18" s="15">
        <v>14</v>
      </c>
      <c r="AJ18" s="6"/>
      <c r="AK18" s="1">
        <f ca="1">IF(Tabla2[[#This Row],[FACTURACION DEMORAS]]="SI",0,IF(Tabla2[[#This Row],[DIAS GENERADOS DEMORA]]&lt;=0,1,-1))</f>
        <v>-1</v>
      </c>
      <c r="AL1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41</v>
      </c>
      <c r="AM18" s="6"/>
      <c r="AN18" s="8">
        <v>45863</v>
      </c>
      <c r="AO18" s="7" t="s">
        <v>237</v>
      </c>
      <c r="AP18" s="6">
        <v>45832</v>
      </c>
      <c r="AQ18" s="9" t="s">
        <v>25</v>
      </c>
      <c r="AR18" s="8">
        <v>45855</v>
      </c>
      <c r="AS18" s="15">
        <f>+Tabla2[[#This Row],[FECHA ATRAQUE]]-Tabla2[[#This Row],[ARRIBO A TRANSBORDO]]+1</f>
        <v>33</v>
      </c>
      <c r="AT18" s="6"/>
      <c r="AU18" s="6"/>
      <c r="AV18" s="6"/>
      <c r="AW18" s="6" t="s">
        <v>145</v>
      </c>
      <c r="AX18" s="11">
        <f ca="1">Tabla2[[#This Row],[FECHA ATRAQUE]]-TODAY()</f>
        <v>-54</v>
      </c>
    </row>
    <row r="19" spans="1:51" customFormat="1" ht="36" x14ac:dyDescent="0.3">
      <c r="A19" s="4"/>
      <c r="B19" s="45" t="s">
        <v>264</v>
      </c>
      <c r="C19" s="4" t="s">
        <v>26</v>
      </c>
      <c r="D19" s="41"/>
      <c r="E19" s="6"/>
      <c r="F19" s="6" t="s">
        <v>257</v>
      </c>
      <c r="G19" s="6"/>
      <c r="H19" s="14" t="s">
        <v>258</v>
      </c>
      <c r="I19" s="15" t="s">
        <v>265</v>
      </c>
      <c r="J19" s="4" t="s">
        <v>266</v>
      </c>
      <c r="K19" s="4" t="s">
        <v>267</v>
      </c>
      <c r="L19" s="4">
        <v>2</v>
      </c>
      <c r="M19" s="4" t="s">
        <v>28</v>
      </c>
      <c r="N19" s="4" t="s">
        <v>32</v>
      </c>
      <c r="O19" s="6"/>
      <c r="P19" s="4" t="s">
        <v>9</v>
      </c>
      <c r="Q19" s="4" t="s">
        <v>9</v>
      </c>
      <c r="R19" s="6"/>
      <c r="S19" s="6" t="s">
        <v>228</v>
      </c>
      <c r="T19" s="18">
        <v>45893</v>
      </c>
      <c r="U19" s="18">
        <v>45893</v>
      </c>
      <c r="V19" s="57">
        <f>Tabla2[[#This Row],[FECHA ATRAQUE]]-Tabla2[[#This Row],[ETD]]+1</f>
        <v>59</v>
      </c>
      <c r="W19" s="4">
        <f>IF(Tabla2[[#This Row],[¿PRE ALERTARDO?]]="SI",0,IF(Tabla2[[#This Row],[Columna1]]&gt;=15,1,-1))</f>
        <v>0</v>
      </c>
      <c r="X19" s="1" t="s">
        <v>143</v>
      </c>
      <c r="Y19" s="6">
        <v>45871</v>
      </c>
      <c r="Z19" s="1">
        <f>IF(Tabla2[[#This Row],[¿FACTURADO?]]="SI",0,IF(Tabla2[[#This Row],[Columna1]]&gt;=4,1,-1))</f>
        <v>0</v>
      </c>
      <c r="AA19" s="1" t="s">
        <v>143</v>
      </c>
      <c r="AB19" s="6">
        <v>45889</v>
      </c>
      <c r="AC19" s="6">
        <v>45890</v>
      </c>
      <c r="AD19" s="37"/>
      <c r="AE19" s="35"/>
      <c r="AF19" s="36">
        <f ca="1">IF(Tabla2[[#This Row],[FACTURACION ALMACENAJE]]="SI",0,IF(Tabla2[[#This Row],[DIAS GENERADOS ALMACENAJE]]&lt;=0,1,-1))</f>
        <v>-1</v>
      </c>
      <c r="AG19"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49</v>
      </c>
      <c r="AH19" s="35"/>
      <c r="AI19" s="37"/>
      <c r="AJ19" s="35"/>
      <c r="AK19" s="36">
        <f ca="1">IF(Tabla2[[#This Row],[FACTURACION DEMORAS]]="SI",0,IF(Tabla2[[#This Row],[DIAS GENERADOS DEMORA]]&lt;=0,1,-1))</f>
        <v>-1</v>
      </c>
      <c r="AL1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49</v>
      </c>
      <c r="AM19" s="35"/>
      <c r="AN19" s="17"/>
      <c r="AO19" s="4" t="s">
        <v>242</v>
      </c>
      <c r="AP19" s="17">
        <v>45835</v>
      </c>
      <c r="AQ19" s="9" t="s">
        <v>25</v>
      </c>
      <c r="AR19" s="17">
        <v>45861</v>
      </c>
      <c r="AS19" s="15">
        <f>+Tabla2[[#This Row],[FECHA ATRAQUE]]-Tabla2[[#This Row],[ARRIBO A TRANSBORDO]]+1</f>
        <v>33</v>
      </c>
      <c r="AT19" s="6"/>
      <c r="AU19" s="6"/>
      <c r="AV19" s="6"/>
      <c r="AW19" s="6" t="s">
        <v>263</v>
      </c>
      <c r="AX19" s="11">
        <f ca="1">Tabla2[[#This Row],[FECHA ATRAQUE]]-TODAY()</f>
        <v>-48</v>
      </c>
      <c r="AY19" s="120"/>
    </row>
    <row r="20" spans="1:51" ht="36" x14ac:dyDescent="0.25">
      <c r="A20" s="4"/>
      <c r="B20" s="40" t="s">
        <v>166</v>
      </c>
      <c r="C20" s="4" t="s">
        <v>26</v>
      </c>
      <c r="D20" s="41" t="s">
        <v>30</v>
      </c>
      <c r="E20" s="6"/>
      <c r="F20" s="6"/>
      <c r="G20" s="6"/>
      <c r="H20" s="14" t="s">
        <v>139</v>
      </c>
      <c r="I20" s="5" t="s">
        <v>167</v>
      </c>
      <c r="J20" s="5" t="s">
        <v>168</v>
      </c>
      <c r="K20" s="5" t="s">
        <v>169</v>
      </c>
      <c r="L20" s="5">
        <v>1</v>
      </c>
      <c r="M20" s="5" t="s">
        <v>28</v>
      </c>
      <c r="N20" s="5" t="s">
        <v>32</v>
      </c>
      <c r="O20" s="6">
        <v>45834</v>
      </c>
      <c r="P20" s="4" t="s">
        <v>9</v>
      </c>
      <c r="Q20" s="4" t="s">
        <v>9</v>
      </c>
      <c r="R20" s="6"/>
      <c r="S20" s="9" t="s">
        <v>228</v>
      </c>
      <c r="T20" s="18">
        <v>45893</v>
      </c>
      <c r="U20" s="87"/>
      <c r="V20" s="57">
        <f>Tabla2[[#This Row],[FECHA ATRAQUE]]-Tabla2[[#This Row],[ETD]]+1</f>
        <v>60</v>
      </c>
      <c r="W20" s="4">
        <f>IF(Tabla2[[#This Row],[¿PRE ALERTARDO?]]="SI",0,IF(Tabla2[[#This Row],[Columna1]]&gt;=15,1,-1))</f>
        <v>0</v>
      </c>
      <c r="X20" s="2" t="s">
        <v>143</v>
      </c>
      <c r="Y20" s="2">
        <v>45866</v>
      </c>
      <c r="Z20" s="1">
        <f>IF(Tabla2[[#This Row],[¿FACTURADO?]]="SI",0,IF(Tabla2[[#This Row],[Columna1]]&gt;=4,1,-1))</f>
        <v>0</v>
      </c>
      <c r="AA20" s="5" t="s">
        <v>143</v>
      </c>
      <c r="AB20" s="6">
        <v>45884</v>
      </c>
      <c r="AC20" s="6">
        <v>45884</v>
      </c>
      <c r="AD20" s="37">
        <v>5</v>
      </c>
      <c r="AE20" s="35">
        <v>45894</v>
      </c>
      <c r="AF20" s="36">
        <f ca="1">IF(Tabla2[[#This Row],[FACTURACION ALMACENAJE]]="SI",0,IF(Tabla2[[#This Row],[DIAS GENERADOS ALMACENAJE]]&lt;=0,1,-1))</f>
        <v>1</v>
      </c>
      <c r="AG20"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20" s="35"/>
      <c r="AI20" s="37"/>
      <c r="AJ20" s="35"/>
      <c r="AK20" s="36">
        <f ca="1">IF(Tabla2[[#This Row],[FACTURACION DEMORAS]]="SI",0,IF(Tabla2[[#This Row],[DIAS GENERADOS DEMORA]]&lt;=0,1,-1))</f>
        <v>1</v>
      </c>
      <c r="AL20"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0" s="35"/>
      <c r="AN20" s="8">
        <v>45863</v>
      </c>
      <c r="AO20" s="7" t="s">
        <v>170</v>
      </c>
      <c r="AP20" s="6">
        <v>45834</v>
      </c>
      <c r="AQ20" s="9" t="s">
        <v>25</v>
      </c>
      <c r="AR20" s="8">
        <v>45868</v>
      </c>
      <c r="AS20" s="15">
        <f>+Tabla2[[#This Row],[FECHA ATRAQUE]]-Tabla2[[#This Row],[ARRIBO A TRANSBORDO]]+1</f>
        <v>26</v>
      </c>
      <c r="AT20" s="6"/>
      <c r="AU20" s="6">
        <v>45876</v>
      </c>
      <c r="AV20" s="6"/>
      <c r="AW20" s="6" t="s">
        <v>145</v>
      </c>
      <c r="AX20" s="11">
        <f ca="1">Tabla2[[#This Row],[FECHA ATRAQUE]]-TODAY()</f>
        <v>-48</v>
      </c>
    </row>
    <row r="21" spans="1:51" ht="36" x14ac:dyDescent="0.25">
      <c r="A21" s="4"/>
      <c r="B21" s="1" t="s">
        <v>192</v>
      </c>
      <c r="C21" s="4" t="s">
        <v>26</v>
      </c>
      <c r="D21" s="41">
        <v>45868</v>
      </c>
      <c r="E21" s="59" t="s">
        <v>30</v>
      </c>
      <c r="F21" s="6"/>
      <c r="G21" s="6"/>
      <c r="H21" s="14" t="s">
        <v>178</v>
      </c>
      <c r="I21" s="15" t="s">
        <v>193</v>
      </c>
      <c r="J21" s="4" t="s">
        <v>194</v>
      </c>
      <c r="K21" s="4" t="s">
        <v>195</v>
      </c>
      <c r="L21" s="4">
        <v>1</v>
      </c>
      <c r="M21" s="4" t="s">
        <v>28</v>
      </c>
      <c r="N21" s="4" t="s">
        <v>32</v>
      </c>
      <c r="O21" s="6">
        <v>45814</v>
      </c>
      <c r="P21" s="4" t="s">
        <v>9</v>
      </c>
      <c r="Q21" s="4" t="s">
        <v>9</v>
      </c>
      <c r="R21" s="6"/>
      <c r="S21" s="9" t="s">
        <v>228</v>
      </c>
      <c r="T21" s="18">
        <v>45893</v>
      </c>
      <c r="U21" s="18">
        <v>45893</v>
      </c>
      <c r="V21" s="57">
        <f>Tabla2[[#This Row],[FECHA ATRAQUE]]-Tabla2[[#This Row],[ETD]]+1</f>
        <v>80</v>
      </c>
      <c r="W21" s="4">
        <f>IF(Tabla2[[#This Row],[¿PRE ALERTARDO?]]="SI",0,IF(Tabla2[[#This Row],[Columna1]]&gt;=15,1,-1))</f>
        <v>0</v>
      </c>
      <c r="X21" s="1" t="s">
        <v>143</v>
      </c>
      <c r="Y21" s="6">
        <v>45867</v>
      </c>
      <c r="Z21" s="1">
        <f>IF(Tabla2[[#This Row],[¿FACTURADO?]]="SI",0,IF(Tabla2[[#This Row],[Columna1]]&gt;=4,1,-1))</f>
        <v>0</v>
      </c>
      <c r="AA21" s="1" t="s">
        <v>143</v>
      </c>
      <c r="AB21" s="6">
        <v>45884</v>
      </c>
      <c r="AC21" s="6">
        <v>45884</v>
      </c>
      <c r="AD21" s="37">
        <v>5</v>
      </c>
      <c r="AE21" s="6">
        <v>45896</v>
      </c>
      <c r="AF21" s="36">
        <f ca="1">IF(Tabla2[[#This Row],[FACTURACION ALMACENAJE]]="SI",0,IF(Tabla2[[#This Row],[DIAS GENERADOS ALMACENAJE]]&lt;=0,1,-1))</f>
        <v>1</v>
      </c>
      <c r="AG21"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21" s="35"/>
      <c r="AI21" s="37"/>
      <c r="AJ21" s="35"/>
      <c r="AK21" s="36">
        <f ca="1">IF(Tabla2[[#This Row],[FACTURACION DEMORAS]]="SI",0,IF(Tabla2[[#This Row],[DIAS GENERADOS DEMORA]]&lt;=0,1,-1))</f>
        <v>-1</v>
      </c>
      <c r="AL21"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49</v>
      </c>
      <c r="AM21" s="35"/>
      <c r="AN21" s="17">
        <v>45845</v>
      </c>
      <c r="AO21" s="4" t="s">
        <v>196</v>
      </c>
      <c r="AP21" s="17">
        <v>45814</v>
      </c>
      <c r="AQ21" s="4" t="s">
        <v>25</v>
      </c>
      <c r="AR21" s="17">
        <v>45861</v>
      </c>
      <c r="AS21" s="15">
        <f>+Tabla2[[#This Row],[FECHA ATRAQUE]]-Tabla2[[#This Row],[ARRIBO A TRANSBORDO]]+1</f>
        <v>33</v>
      </c>
      <c r="AT21" s="6"/>
      <c r="AU21" s="6">
        <v>45876</v>
      </c>
      <c r="AV21" s="6"/>
      <c r="AW21" s="6" t="s">
        <v>145</v>
      </c>
      <c r="AX21" s="11">
        <f ca="1">Tabla2[[#This Row],[FECHA ATRAQUE]]-TODAY()</f>
        <v>-48</v>
      </c>
    </row>
    <row r="22" spans="1:51" ht="36" x14ac:dyDescent="0.25">
      <c r="A22" s="4"/>
      <c r="B22" s="1" t="s">
        <v>202</v>
      </c>
      <c r="C22" s="4" t="s">
        <v>26</v>
      </c>
      <c r="D22" s="41" t="s">
        <v>30</v>
      </c>
      <c r="E22" s="59"/>
      <c r="F22" s="6"/>
      <c r="G22" s="6"/>
      <c r="H22" s="14" t="s">
        <v>178</v>
      </c>
      <c r="I22" s="15" t="s">
        <v>203</v>
      </c>
      <c r="J22" s="4" t="s">
        <v>204</v>
      </c>
      <c r="K22" s="4" t="s">
        <v>205</v>
      </c>
      <c r="L22" s="4">
        <v>1</v>
      </c>
      <c r="M22" s="4" t="s">
        <v>28</v>
      </c>
      <c r="N22" s="4" t="s">
        <v>32</v>
      </c>
      <c r="O22" s="6">
        <v>45814</v>
      </c>
      <c r="P22" s="4" t="s">
        <v>9</v>
      </c>
      <c r="Q22" s="4" t="s">
        <v>9</v>
      </c>
      <c r="R22" s="6"/>
      <c r="S22" s="9" t="s">
        <v>228</v>
      </c>
      <c r="T22" s="18">
        <v>45893</v>
      </c>
      <c r="U22" s="18"/>
      <c r="V22" s="57">
        <f>Tabla2[[#This Row],[FECHA ATRAQUE]]-Tabla2[[#This Row],[ETD]]+1</f>
        <v>75</v>
      </c>
      <c r="W22" s="4">
        <f>IF(Tabla2[[#This Row],[¿PRE ALERTARDO?]]="SI",0,IF(Tabla2[[#This Row],[Columna1]]&gt;=15,1,-1))</f>
        <v>0</v>
      </c>
      <c r="X22" s="1" t="s">
        <v>143</v>
      </c>
      <c r="Y22" s="6">
        <v>45867</v>
      </c>
      <c r="Z22" s="1">
        <f>IF(Tabla2[[#This Row],[¿FACTURADO?]]="SI",0,IF(Tabla2[[#This Row],[Columna1]]&gt;=4,1,-1))</f>
        <v>0</v>
      </c>
      <c r="AA22" s="1" t="s">
        <v>143</v>
      </c>
      <c r="AB22" s="6">
        <v>45884</v>
      </c>
      <c r="AC22" s="6">
        <v>45884</v>
      </c>
      <c r="AD22" s="37">
        <v>5</v>
      </c>
      <c r="AE22" s="35">
        <v>45896</v>
      </c>
      <c r="AF22" s="36">
        <f ca="1">IF(Tabla2[[#This Row],[FACTURACION ALMACENAJE]]="SI",0,IF(Tabla2[[#This Row],[DIAS GENERADOS ALMACENAJE]]&lt;=0,1,-1))</f>
        <v>1</v>
      </c>
      <c r="AG22"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22" s="35"/>
      <c r="AI22" s="37"/>
      <c r="AJ22" s="35"/>
      <c r="AK22" s="36">
        <f ca="1">IF(Tabla2[[#This Row],[FACTURACION DEMORAS]]="SI",0,IF(Tabla2[[#This Row],[DIAS GENERADOS DEMORA]]&lt;=0,1,-1))</f>
        <v>1</v>
      </c>
      <c r="AL22"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2" s="35"/>
      <c r="AN22" s="17">
        <v>45845</v>
      </c>
      <c r="AO22" s="4" t="s">
        <v>183</v>
      </c>
      <c r="AP22" s="17">
        <v>45819</v>
      </c>
      <c r="AQ22" s="4" t="s">
        <v>25</v>
      </c>
      <c r="AR22" s="17">
        <v>45861</v>
      </c>
      <c r="AS22" s="15">
        <f>+Tabla2[[#This Row],[FECHA ATRAQUE]]-Tabla2[[#This Row],[ARRIBO A TRANSBORDO]]+1</f>
        <v>33</v>
      </c>
      <c r="AT22" s="6"/>
      <c r="AU22" s="6">
        <v>45876</v>
      </c>
      <c r="AV22" s="6"/>
      <c r="AW22" s="6" t="s">
        <v>145</v>
      </c>
      <c r="AX22" s="11">
        <f ca="1">Tabla2[[#This Row],[FECHA ATRAQUE]]-TODAY()</f>
        <v>-48</v>
      </c>
    </row>
    <row r="23" spans="1:51" ht="36" x14ac:dyDescent="0.25">
      <c r="A23" s="1"/>
      <c r="B23" s="3" t="s">
        <v>415</v>
      </c>
      <c r="C23" s="5" t="s">
        <v>26</v>
      </c>
      <c r="D23" s="41" t="s">
        <v>30</v>
      </c>
      <c r="E23" s="59">
        <v>45862</v>
      </c>
      <c r="F23" s="6">
        <v>45882</v>
      </c>
      <c r="G23" s="6" t="s">
        <v>143</v>
      </c>
      <c r="H23" s="14" t="s">
        <v>290</v>
      </c>
      <c r="I23" s="5" t="s">
        <v>429</v>
      </c>
      <c r="J23" s="5" t="s">
        <v>430</v>
      </c>
      <c r="K23" s="5" t="s">
        <v>431</v>
      </c>
      <c r="L23" s="5">
        <v>1</v>
      </c>
      <c r="M23" s="5" t="s">
        <v>28</v>
      </c>
      <c r="N23" s="5" t="s">
        <v>32</v>
      </c>
      <c r="O23" s="6"/>
      <c r="P23" s="4" t="s">
        <v>9</v>
      </c>
      <c r="Q23" s="4" t="s">
        <v>9</v>
      </c>
      <c r="R23" s="6"/>
      <c r="S23" s="44" t="s">
        <v>461</v>
      </c>
      <c r="T23" s="2">
        <v>45893</v>
      </c>
      <c r="U23" s="2">
        <v>45893</v>
      </c>
      <c r="V23" s="57">
        <f>Tabla2[[#This Row],[FECHA ATRAQUE]]-Tabla2[[#This Row],[ETD]]+1</f>
        <v>78</v>
      </c>
      <c r="W23" s="4">
        <f>IF(Tabla2[[#This Row],[¿PRE ALERTARDO?]]="SI",0,IF(Tabla2[[#This Row],[Columna1]]&gt;=15,1,-1))</f>
        <v>0</v>
      </c>
      <c r="X23" s="2" t="s">
        <v>143</v>
      </c>
      <c r="Y23" s="2">
        <v>45840</v>
      </c>
      <c r="Z23" s="1">
        <f>IF(Tabla2[[#This Row],[¿FACTURADO?]]="SI",0,IF(Tabla2[[#This Row],[Columna1]]&gt;=4,1,-1))</f>
        <v>0</v>
      </c>
      <c r="AA23" s="5" t="s">
        <v>143</v>
      </c>
      <c r="AB23" s="6">
        <v>45881</v>
      </c>
      <c r="AC23" s="6">
        <v>45881</v>
      </c>
      <c r="AD23" s="15">
        <v>7</v>
      </c>
      <c r="AE23" s="6">
        <v>45899</v>
      </c>
      <c r="AF23" s="1">
        <f ca="1">IF(Tabla2[[#This Row],[FACTURACION ALMACENAJE]]="SI",0,IF(Tabla2[[#This Row],[DIAS GENERADOS ALMACENAJE]]&lt;=0,1,-1))</f>
        <v>1</v>
      </c>
      <c r="AG2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23" s="6"/>
      <c r="AI23" s="15">
        <v>14</v>
      </c>
      <c r="AJ23" s="6"/>
      <c r="AK23" s="1">
        <f ca="1">IF(Tabla2[[#This Row],[FACTURACION DEMORAS]]="SI",0,IF(Tabla2[[#This Row],[DIAS GENERADOS DEMORA]]&lt;=0,1,-1))</f>
        <v>-1</v>
      </c>
      <c r="AL2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35</v>
      </c>
      <c r="AM23" s="6"/>
      <c r="AN23" s="8">
        <v>45828</v>
      </c>
      <c r="AO23" s="7" t="s">
        <v>237</v>
      </c>
      <c r="AP23" s="6">
        <v>45816</v>
      </c>
      <c r="AQ23" s="9" t="s">
        <v>25</v>
      </c>
      <c r="AR23" s="8">
        <v>45861</v>
      </c>
      <c r="AS23" s="15">
        <f>+Tabla2[[#This Row],[FECHA ATRAQUE]]-Tabla2[[#This Row],[ARRIBO A TRANSBORDO]]+1</f>
        <v>33</v>
      </c>
      <c r="AT23" s="6"/>
      <c r="AU23" s="6"/>
      <c r="AV23" s="6"/>
      <c r="AW23" s="6" t="s">
        <v>145</v>
      </c>
      <c r="AX23" s="11">
        <f ca="1">Tabla2[[#This Row],[FECHA ATRAQUE]]-TODAY()</f>
        <v>-48</v>
      </c>
    </row>
    <row r="24" spans="1:51" ht="36" x14ac:dyDescent="0.25">
      <c r="A24" s="1"/>
      <c r="B24" s="3" t="s">
        <v>417</v>
      </c>
      <c r="C24" s="5" t="s">
        <v>26</v>
      </c>
      <c r="D24" s="6" t="s">
        <v>30</v>
      </c>
      <c r="E24" s="59"/>
      <c r="F24" s="6">
        <v>45882</v>
      </c>
      <c r="G24" s="6" t="s">
        <v>143</v>
      </c>
      <c r="H24" s="14" t="s">
        <v>290</v>
      </c>
      <c r="I24" s="5" t="s">
        <v>435</v>
      </c>
      <c r="J24" s="5" t="s">
        <v>436</v>
      </c>
      <c r="K24" s="5" t="s">
        <v>464</v>
      </c>
      <c r="L24" s="5">
        <v>1</v>
      </c>
      <c r="M24" s="5" t="s">
        <v>28</v>
      </c>
      <c r="N24" s="5" t="s">
        <v>32</v>
      </c>
      <c r="O24" s="6"/>
      <c r="P24" s="4" t="s">
        <v>9</v>
      </c>
      <c r="Q24" s="4" t="s">
        <v>9</v>
      </c>
      <c r="R24" s="6"/>
      <c r="S24" s="44" t="s">
        <v>228</v>
      </c>
      <c r="T24" s="2">
        <v>45893</v>
      </c>
      <c r="U24" s="2">
        <v>45893</v>
      </c>
      <c r="V24" s="57">
        <f>Tabla2[[#This Row],[FECHA ATRAQUE]]-Tabla2[[#This Row],[ETD]]+1</f>
        <v>63</v>
      </c>
      <c r="W24" s="4">
        <f>IF(Tabla2[[#This Row],[¿PRE ALERTARDO?]]="SI",0,IF(Tabla2[[#This Row],[Columna1]]&gt;=15,1,-1))</f>
        <v>0</v>
      </c>
      <c r="X24" s="2" t="s">
        <v>143</v>
      </c>
      <c r="Y24" s="2">
        <v>45840</v>
      </c>
      <c r="Z24" s="1">
        <f>IF(Tabla2[[#This Row],[¿FACTURADO?]]="SI",0,IF(Tabla2[[#This Row],[Columna1]]&gt;=4,1,-1))</f>
        <v>0</v>
      </c>
      <c r="AA24" s="5" t="s">
        <v>143</v>
      </c>
      <c r="AB24" s="6">
        <v>45881</v>
      </c>
      <c r="AC24" s="6">
        <v>45881</v>
      </c>
      <c r="AD24" s="15">
        <v>7</v>
      </c>
      <c r="AE24" s="6">
        <v>45909</v>
      </c>
      <c r="AF24" s="4">
        <f>IF(Tabla2[[#This Row],[FACTURACION ALMACENAJE]]="SI",0,IF(Tabla2[[#This Row],[DIAS GENERADOS ALMACENAJE]]&lt;=0,1,-1))</f>
        <v>0</v>
      </c>
      <c r="AG2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10</v>
      </c>
      <c r="AH24" s="6" t="s">
        <v>143</v>
      </c>
      <c r="AI24" s="15">
        <v>17</v>
      </c>
      <c r="AJ24" s="6">
        <v>45909</v>
      </c>
      <c r="AK24" s="4">
        <f ca="1">IF(Tabla2[[#This Row],[FACTURACION DEMORAS]]="SI",0,IF(Tabla2[[#This Row],[DIAS GENERADOS DEMORA]]&lt;=0,1,-1))</f>
        <v>1</v>
      </c>
      <c r="AL2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4" s="43"/>
      <c r="AN24" s="8">
        <v>45828</v>
      </c>
      <c r="AO24" s="7" t="s">
        <v>201</v>
      </c>
      <c r="AP24" s="6">
        <v>45831</v>
      </c>
      <c r="AQ24" s="9" t="s">
        <v>25</v>
      </c>
      <c r="AR24" s="8">
        <v>45861</v>
      </c>
      <c r="AS24" s="15">
        <f>+Tabla2[[#This Row],[FECHA ATRAQUE]]-Tabla2[[#This Row],[ARRIBO A TRANSBORDO]]+1</f>
        <v>33</v>
      </c>
      <c r="AT24" s="6"/>
      <c r="AU24" s="6"/>
      <c r="AV24" s="6"/>
      <c r="AW24" s="6" t="s">
        <v>145</v>
      </c>
      <c r="AX24" s="11">
        <f ca="1">Tabla2[[#This Row],[FECHA ATRAQUE]]-TODAY()</f>
        <v>-48</v>
      </c>
    </row>
    <row r="25" spans="1:51" ht="36" x14ac:dyDescent="0.25">
      <c r="A25" s="1"/>
      <c r="B25" s="3" t="s">
        <v>418</v>
      </c>
      <c r="C25" s="5" t="s">
        <v>26</v>
      </c>
      <c r="D25" s="6" t="s">
        <v>318</v>
      </c>
      <c r="E25" s="59">
        <v>45852</v>
      </c>
      <c r="F25" s="6">
        <v>45882</v>
      </c>
      <c r="G25" s="6" t="s">
        <v>143</v>
      </c>
      <c r="H25" s="14" t="s">
        <v>290</v>
      </c>
      <c r="I25" s="5" t="s">
        <v>437</v>
      </c>
      <c r="J25" s="5" t="s">
        <v>438</v>
      </c>
      <c r="K25" s="5" t="s">
        <v>439</v>
      </c>
      <c r="L25" s="5">
        <v>1</v>
      </c>
      <c r="M25" s="5" t="s">
        <v>28</v>
      </c>
      <c r="N25" s="5" t="s">
        <v>32</v>
      </c>
      <c r="O25" s="6"/>
      <c r="P25" s="4" t="s">
        <v>9</v>
      </c>
      <c r="Q25" s="4" t="s">
        <v>9</v>
      </c>
      <c r="R25" s="6"/>
      <c r="S25" s="44" t="s">
        <v>228</v>
      </c>
      <c r="T25" s="2">
        <v>45893</v>
      </c>
      <c r="U25" s="2">
        <v>45893</v>
      </c>
      <c r="V25" s="57">
        <f>Tabla2[[#This Row],[FECHA ATRAQUE]]-Tabla2[[#This Row],[ETD]]+1</f>
        <v>73</v>
      </c>
      <c r="W25" s="4">
        <f>IF(Tabla2[[#This Row],[¿PRE ALERTARDO?]]="SI",0,IF(Tabla2[[#This Row],[Columna1]]&gt;=15,1,-1))</f>
        <v>0</v>
      </c>
      <c r="X25" s="2" t="s">
        <v>143</v>
      </c>
      <c r="Y25" s="2">
        <v>45854</v>
      </c>
      <c r="Z25" s="1">
        <f>IF(Tabla2[[#This Row],[¿FACTURADO?]]="SI",0,IF(Tabla2[[#This Row],[Columna1]]&gt;=4,1,-1))</f>
        <v>0</v>
      </c>
      <c r="AA25" s="5" t="s">
        <v>143</v>
      </c>
      <c r="AB25" s="6">
        <v>45881</v>
      </c>
      <c r="AC25" s="6">
        <v>45881</v>
      </c>
      <c r="AD25" s="15">
        <v>7</v>
      </c>
      <c r="AE25" s="6">
        <v>45908</v>
      </c>
      <c r="AF25" s="4">
        <f>IF(Tabla2[[#This Row],[FACTURACION ALMACENAJE]]="SI",0,IF(Tabla2[[#This Row],[DIAS GENERADOS ALMACENAJE]]&lt;=0,1,-1))</f>
        <v>0</v>
      </c>
      <c r="AG2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9</v>
      </c>
      <c r="AH25" s="6" t="s">
        <v>143</v>
      </c>
      <c r="AI25" s="15">
        <v>17</v>
      </c>
      <c r="AJ25" s="6">
        <v>45909</v>
      </c>
      <c r="AK25" s="4">
        <f ca="1">IF(Tabla2[[#This Row],[FACTURACION DEMORAS]]="SI",0,IF(Tabla2[[#This Row],[DIAS GENERADOS DEMORA]]&lt;=0,1,-1))</f>
        <v>1</v>
      </c>
      <c r="AL2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5" s="43"/>
      <c r="AN25" s="8">
        <v>45843</v>
      </c>
      <c r="AO25" s="7" t="s">
        <v>323</v>
      </c>
      <c r="AP25" s="6">
        <v>45821</v>
      </c>
      <c r="AQ25" s="9" t="s">
        <v>25</v>
      </c>
      <c r="AR25" s="8">
        <v>45861</v>
      </c>
      <c r="AS25" s="15">
        <f>+Tabla2[[#This Row],[FECHA ATRAQUE]]-Tabla2[[#This Row],[ARRIBO A TRANSBORDO]]+1</f>
        <v>33</v>
      </c>
      <c r="AT25" s="6"/>
      <c r="AU25" s="6"/>
      <c r="AV25" s="6"/>
      <c r="AW25" s="6" t="s">
        <v>145</v>
      </c>
      <c r="AX25" s="11">
        <f ca="1">Tabla2[[#This Row],[FECHA ATRAQUE]]-TODAY()</f>
        <v>-48</v>
      </c>
    </row>
    <row r="26" spans="1:51" ht="36" x14ac:dyDescent="0.25">
      <c r="A26" s="1"/>
      <c r="B26" s="3" t="s">
        <v>419</v>
      </c>
      <c r="C26" s="5" t="s">
        <v>26</v>
      </c>
      <c r="D26" s="59" t="s">
        <v>30</v>
      </c>
      <c r="E26" s="6">
        <v>45862</v>
      </c>
      <c r="F26" s="6">
        <v>45882</v>
      </c>
      <c r="G26" s="6" t="s">
        <v>143</v>
      </c>
      <c r="H26" s="14" t="s">
        <v>290</v>
      </c>
      <c r="I26" s="5" t="s">
        <v>440</v>
      </c>
      <c r="J26" s="5" t="s">
        <v>441</v>
      </c>
      <c r="K26" s="5" t="s">
        <v>442</v>
      </c>
      <c r="L26" s="5">
        <v>1</v>
      </c>
      <c r="M26" s="5" t="s">
        <v>28</v>
      </c>
      <c r="N26" s="5" t="s">
        <v>32</v>
      </c>
      <c r="O26" s="6"/>
      <c r="P26" s="4" t="s">
        <v>9</v>
      </c>
      <c r="Q26" s="4" t="s">
        <v>9</v>
      </c>
      <c r="R26" s="6"/>
      <c r="S26" s="44" t="s">
        <v>228</v>
      </c>
      <c r="T26" s="2">
        <v>45893</v>
      </c>
      <c r="U26" s="2">
        <v>45893</v>
      </c>
      <c r="V26" s="57">
        <f>Tabla2[[#This Row],[FECHA ATRAQUE]]-Tabla2[[#This Row],[ETD]]+1</f>
        <v>73</v>
      </c>
      <c r="W26" s="4">
        <f>IF(Tabla2[[#This Row],[¿PRE ALERTARDO?]]="SI",0,IF(Tabla2[[#This Row],[Columna1]]&gt;=15,1,-1))</f>
        <v>0</v>
      </c>
      <c r="X26" s="2" t="s">
        <v>143</v>
      </c>
      <c r="Y26" s="2">
        <v>45854</v>
      </c>
      <c r="Z26" s="1">
        <f>IF(Tabla2[[#This Row],[¿FACTURADO?]]="SI",0,IF(Tabla2[[#This Row],[Columna1]]&gt;=4,1,-1))</f>
        <v>0</v>
      </c>
      <c r="AA26" s="5" t="s">
        <v>143</v>
      </c>
      <c r="AB26" s="6">
        <v>45881</v>
      </c>
      <c r="AC26" s="6">
        <v>45881</v>
      </c>
      <c r="AD26" s="15">
        <v>7</v>
      </c>
      <c r="AE26" s="6">
        <v>45899</v>
      </c>
      <c r="AF26" s="4">
        <f ca="1">IF(Tabla2[[#This Row],[FACTURACION ALMACENAJE]]="SI",0,IF(Tabla2[[#This Row],[DIAS GENERADOS ALMACENAJE]]&lt;=0,1,-1))</f>
        <v>1</v>
      </c>
      <c r="AG2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26" s="6"/>
      <c r="AI26" s="15">
        <v>14</v>
      </c>
      <c r="AJ26" s="6"/>
      <c r="AK26" s="4">
        <f ca="1">IF(Tabla2[[#This Row],[FACTURACION DEMORAS]]="SI",0,IF(Tabla2[[#This Row],[DIAS GENERADOS DEMORA]]&lt;=0,1,-1))</f>
        <v>-1</v>
      </c>
      <c r="AL2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35</v>
      </c>
      <c r="AM26" s="43"/>
      <c r="AN26" s="8">
        <v>45843</v>
      </c>
      <c r="AO26" s="7" t="s">
        <v>323</v>
      </c>
      <c r="AP26" s="6">
        <v>45821</v>
      </c>
      <c r="AQ26" s="9" t="s">
        <v>25</v>
      </c>
      <c r="AR26" s="8">
        <v>45861</v>
      </c>
      <c r="AS26" s="15">
        <f>+Tabla2[[#This Row],[FECHA ATRAQUE]]-Tabla2[[#This Row],[ARRIBO A TRANSBORDO]]+1</f>
        <v>33</v>
      </c>
      <c r="AT26" s="6"/>
      <c r="AU26" s="6"/>
      <c r="AV26" s="6"/>
      <c r="AW26" s="6" t="s">
        <v>145</v>
      </c>
      <c r="AX26" s="11">
        <f ca="1">Tabla2[[#This Row],[FECHA ATRAQUE]]-TODAY()</f>
        <v>-48</v>
      </c>
    </row>
    <row r="27" spans="1:51" customFormat="1" ht="36" x14ac:dyDescent="0.3">
      <c r="A27" s="1"/>
      <c r="B27" s="3" t="s">
        <v>420</v>
      </c>
      <c r="C27" s="5" t="s">
        <v>26</v>
      </c>
      <c r="D27" s="41">
        <v>45895</v>
      </c>
      <c r="E27" s="59" t="s">
        <v>30</v>
      </c>
      <c r="F27" s="6">
        <v>45882</v>
      </c>
      <c r="G27" s="6" t="s">
        <v>143</v>
      </c>
      <c r="H27" s="14" t="s">
        <v>290</v>
      </c>
      <c r="I27" s="5" t="s">
        <v>443</v>
      </c>
      <c r="J27" s="5" t="s">
        <v>444</v>
      </c>
      <c r="K27" s="5" t="s">
        <v>445</v>
      </c>
      <c r="L27" s="5">
        <v>1</v>
      </c>
      <c r="M27" s="5" t="s">
        <v>28</v>
      </c>
      <c r="N27" s="5" t="s">
        <v>32</v>
      </c>
      <c r="O27" s="6"/>
      <c r="P27" s="4" t="s">
        <v>9</v>
      </c>
      <c r="Q27" s="4" t="s">
        <v>9</v>
      </c>
      <c r="R27" s="6"/>
      <c r="S27" s="44" t="s">
        <v>228</v>
      </c>
      <c r="T27" s="2">
        <v>45893</v>
      </c>
      <c r="U27" s="2">
        <v>45893</v>
      </c>
      <c r="V27" s="57">
        <f>Tabla2[[#This Row],[FECHA ATRAQUE]]-Tabla2[[#This Row],[ETD]]+1</f>
        <v>49</v>
      </c>
      <c r="W27" s="4">
        <f>IF(Tabla2[[#This Row],[¿PRE ALERTARDO?]]="SI",0,IF(Tabla2[[#This Row],[Columna1]]&gt;=15,1,-1))</f>
        <v>0</v>
      </c>
      <c r="X27" s="2" t="s">
        <v>143</v>
      </c>
      <c r="Y27" s="2">
        <v>45871</v>
      </c>
      <c r="Z27" s="1">
        <f>IF(Tabla2[[#This Row],[¿FACTURADO?]]="SI",0,IF(Tabla2[[#This Row],[Columna1]]&gt;=4,1,-1))</f>
        <v>0</v>
      </c>
      <c r="AA27" s="5" t="s">
        <v>143</v>
      </c>
      <c r="AB27" s="6">
        <v>45881</v>
      </c>
      <c r="AC27" s="6">
        <v>45881</v>
      </c>
      <c r="AD27" s="15">
        <v>7</v>
      </c>
      <c r="AE27" s="6">
        <v>45908</v>
      </c>
      <c r="AF27" s="4">
        <f>IF(Tabla2[[#This Row],[FACTURACION ALMACENAJE]]="SI",0,IF(Tabla2[[#This Row],[DIAS GENERADOS ALMACENAJE]]&lt;=0,1,-1))</f>
        <v>0</v>
      </c>
      <c r="AG2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9</v>
      </c>
      <c r="AH27" s="6" t="s">
        <v>143</v>
      </c>
      <c r="AI27" s="15">
        <v>17</v>
      </c>
      <c r="AJ27" s="6">
        <v>45909</v>
      </c>
      <c r="AK27" s="4">
        <f ca="1">IF(Tabla2[[#This Row],[FACTURACION DEMORAS]]="SI",0,IF(Tabla2[[#This Row],[DIAS GENERADOS DEMORA]]&lt;=0,1,-1))</f>
        <v>1</v>
      </c>
      <c r="AL2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7" s="6"/>
      <c r="AN27" s="8">
        <v>45825</v>
      </c>
      <c r="AO27" s="7" t="s">
        <v>201</v>
      </c>
      <c r="AP27" s="6">
        <v>45845</v>
      </c>
      <c r="AQ27" s="9" t="s">
        <v>25</v>
      </c>
      <c r="AR27" s="8">
        <v>45875</v>
      </c>
      <c r="AS27" s="15">
        <f>+Tabla2[[#This Row],[FECHA ATRAQUE]]-Tabla2[[#This Row],[ARRIBO A TRANSBORDO]]+1</f>
        <v>19</v>
      </c>
      <c r="AT27" s="6"/>
      <c r="AU27" s="6"/>
      <c r="AV27" s="6"/>
      <c r="AW27" s="6" t="s">
        <v>145</v>
      </c>
      <c r="AX27" s="11">
        <f ca="1">Tabla2[[#This Row],[FECHA ATRAQUE]]-TODAY()</f>
        <v>-48</v>
      </c>
      <c r="AY27" s="120"/>
    </row>
    <row r="28" spans="1:51" ht="36" x14ac:dyDescent="0.25">
      <c r="A28" s="1"/>
      <c r="B28" s="3" t="s">
        <v>421</v>
      </c>
      <c r="C28" s="5" t="s">
        <v>26</v>
      </c>
      <c r="D28" s="41">
        <v>45853</v>
      </c>
      <c r="E28" s="59" t="s">
        <v>30</v>
      </c>
      <c r="F28" s="6">
        <v>45882</v>
      </c>
      <c r="G28" s="6" t="s">
        <v>143</v>
      </c>
      <c r="H28" s="14" t="s">
        <v>290</v>
      </c>
      <c r="I28" s="5" t="s">
        <v>446</v>
      </c>
      <c r="J28" s="5" t="s">
        <v>447</v>
      </c>
      <c r="K28" s="5" t="s">
        <v>448</v>
      </c>
      <c r="L28" s="5">
        <v>1</v>
      </c>
      <c r="M28" s="5" t="s">
        <v>28</v>
      </c>
      <c r="N28" s="5" t="s">
        <v>32</v>
      </c>
      <c r="O28" s="6"/>
      <c r="P28" s="4" t="s">
        <v>9</v>
      </c>
      <c r="Q28" s="4" t="s">
        <v>9</v>
      </c>
      <c r="R28" s="6"/>
      <c r="S28" s="44" t="s">
        <v>228</v>
      </c>
      <c r="T28" s="2">
        <v>45893</v>
      </c>
      <c r="U28" s="2">
        <v>45893</v>
      </c>
      <c r="V28" s="57">
        <f>Tabla2[[#This Row],[FECHA ATRAQUE]]-Tabla2[[#This Row],[ETD]]+1</f>
        <v>57</v>
      </c>
      <c r="W28" s="4">
        <f>IF(Tabla2[[#This Row],[¿PRE ALERTARDO?]]="SI",0,IF(Tabla2[[#This Row],[Columna1]]&gt;=15,1,-1))</f>
        <v>0</v>
      </c>
      <c r="X28" s="2" t="s">
        <v>143</v>
      </c>
      <c r="Y28" s="2">
        <v>45880</v>
      </c>
      <c r="Z28" s="1">
        <f>IF(Tabla2[[#This Row],[¿FACTURADO?]]="SI",0,IF(Tabla2[[#This Row],[Columna1]]&gt;=4,1,-1))</f>
        <v>0</v>
      </c>
      <c r="AA28" s="5" t="s">
        <v>143</v>
      </c>
      <c r="AB28" s="6">
        <v>45881</v>
      </c>
      <c r="AC28" s="6">
        <v>45881</v>
      </c>
      <c r="AD28" s="15">
        <v>7</v>
      </c>
      <c r="AE28" s="6">
        <v>45909</v>
      </c>
      <c r="AF28" s="4">
        <f>IF(Tabla2[[#This Row],[FACTURACION ALMACENAJE]]="SI",0,IF(Tabla2[[#This Row],[DIAS GENERADOS ALMACENAJE]]&lt;=0,1,-1))</f>
        <v>0</v>
      </c>
      <c r="AG2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10</v>
      </c>
      <c r="AH28" s="6" t="s">
        <v>143</v>
      </c>
      <c r="AI28" s="15">
        <v>17</v>
      </c>
      <c r="AJ28" s="6">
        <v>45909</v>
      </c>
      <c r="AK28" s="4">
        <f ca="1">IF(Tabla2[[#This Row],[FACTURACION DEMORAS]]="SI",0,IF(Tabla2[[#This Row],[DIAS GENERADOS DEMORA]]&lt;=0,1,-1))</f>
        <v>1</v>
      </c>
      <c r="AL2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8" s="6"/>
      <c r="AN28" s="8">
        <v>45853</v>
      </c>
      <c r="AO28" s="7" t="s">
        <v>462</v>
      </c>
      <c r="AP28" s="6">
        <v>45837</v>
      </c>
      <c r="AQ28" s="9" t="s">
        <v>25</v>
      </c>
      <c r="AR28" s="8">
        <v>45868</v>
      </c>
      <c r="AS28" s="15">
        <f>+Tabla2[[#This Row],[FECHA ATRAQUE]]-Tabla2[[#This Row],[ARRIBO A TRANSBORDO]]+1</f>
        <v>26</v>
      </c>
      <c r="AT28" s="6"/>
      <c r="AU28" s="6"/>
      <c r="AV28" s="6"/>
      <c r="AW28" s="6" t="s">
        <v>145</v>
      </c>
      <c r="AX28" s="11">
        <f ca="1">Tabla2[[#This Row],[FECHA ATRAQUE]]-TODAY()</f>
        <v>-48</v>
      </c>
    </row>
    <row r="29" spans="1:51" ht="36" x14ac:dyDescent="0.25">
      <c r="A29" s="93" t="s">
        <v>481</v>
      </c>
      <c r="B29" s="153" t="s">
        <v>416</v>
      </c>
      <c r="C29" s="5" t="s">
        <v>21</v>
      </c>
      <c r="D29" s="41" t="s">
        <v>30</v>
      </c>
      <c r="E29" s="154">
        <v>45862</v>
      </c>
      <c r="F29" s="6">
        <v>45882</v>
      </c>
      <c r="G29" s="6" t="s">
        <v>143</v>
      </c>
      <c r="H29" s="95" t="s">
        <v>290</v>
      </c>
      <c r="I29" s="5" t="s">
        <v>432</v>
      </c>
      <c r="J29" s="5" t="s">
        <v>433</v>
      </c>
      <c r="K29" s="5" t="s">
        <v>434</v>
      </c>
      <c r="L29" s="5">
        <v>1</v>
      </c>
      <c r="M29" s="5" t="s">
        <v>28</v>
      </c>
      <c r="N29" s="5" t="s">
        <v>32</v>
      </c>
      <c r="O29" s="6"/>
      <c r="P29" s="4" t="s">
        <v>9</v>
      </c>
      <c r="Q29" s="4" t="s">
        <v>9</v>
      </c>
      <c r="R29" s="6"/>
      <c r="S29" s="44" t="s">
        <v>461</v>
      </c>
      <c r="T29" s="2">
        <v>45893</v>
      </c>
      <c r="U29" s="2">
        <v>45893</v>
      </c>
      <c r="V29" s="57">
        <f>Tabla2[[#This Row],[FECHA ATRAQUE]]-Tabla2[[#This Row],[ETD]]+1</f>
        <v>78</v>
      </c>
      <c r="W29" s="4">
        <f>IF(Tabla2[[#This Row],[¿PRE ALERTARDO?]]="SI",0,IF(Tabla2[[#This Row],[Columna1]]&gt;=15,1,-1))</f>
        <v>0</v>
      </c>
      <c r="X29" s="2" t="s">
        <v>143</v>
      </c>
      <c r="Y29" s="2">
        <v>45840</v>
      </c>
      <c r="Z29" s="1">
        <f>IF(Tabla2[[#This Row],[¿FACTURADO?]]="SI",0,IF(Tabla2[[#This Row],[Columna1]]&gt;=4,1,-1))</f>
        <v>0</v>
      </c>
      <c r="AA29" s="5" t="s">
        <v>143</v>
      </c>
      <c r="AB29" s="6">
        <v>45881</v>
      </c>
      <c r="AC29" s="6">
        <v>45881</v>
      </c>
      <c r="AD29" s="15">
        <v>7</v>
      </c>
      <c r="AE29" s="6"/>
      <c r="AF29" s="1">
        <f ca="1">IF(Tabla2[[#This Row],[FACTURACION ALMACENAJE]]="SI",0,IF(Tabla2[[#This Row],[DIAS GENERADOS ALMACENAJE]]&lt;=0,1,-1))</f>
        <v>-1</v>
      </c>
      <c r="AG2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42</v>
      </c>
      <c r="AH29" s="6"/>
      <c r="AI29" s="15">
        <v>14</v>
      </c>
      <c r="AJ29" s="6"/>
      <c r="AK29" s="1">
        <f ca="1">IF(Tabla2[[#This Row],[FACTURACION DEMORAS]]="SI",0,IF(Tabla2[[#This Row],[DIAS GENERADOS DEMORA]]&lt;=0,1,-1))</f>
        <v>-1</v>
      </c>
      <c r="AL2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35</v>
      </c>
      <c r="AM29" s="6"/>
      <c r="AN29" s="8">
        <v>45828</v>
      </c>
      <c r="AO29" s="7" t="s">
        <v>237</v>
      </c>
      <c r="AP29" s="6">
        <v>45816</v>
      </c>
      <c r="AQ29" s="9" t="s">
        <v>25</v>
      </c>
      <c r="AR29" s="8">
        <v>45861</v>
      </c>
      <c r="AS29" s="15">
        <f>+Tabla2[[#This Row],[FECHA ATRAQUE]]-Tabla2[[#This Row],[ARRIBO A TRANSBORDO]]+1</f>
        <v>33</v>
      </c>
      <c r="AT29" s="6">
        <v>45888</v>
      </c>
      <c r="AU29" s="6">
        <v>45906</v>
      </c>
      <c r="AV29" s="6"/>
      <c r="AW29" s="6" t="s">
        <v>145</v>
      </c>
      <c r="AX29" s="11">
        <f ca="1">Tabla2[[#This Row],[FECHA ATRAQUE]]-TODAY()</f>
        <v>-48</v>
      </c>
    </row>
    <row r="30" spans="1:51" ht="36" x14ac:dyDescent="0.25">
      <c r="A30" s="4"/>
      <c r="B30" s="40" t="s">
        <v>222</v>
      </c>
      <c r="C30" s="4" t="s">
        <v>26</v>
      </c>
      <c r="D30" s="41" t="s">
        <v>30</v>
      </c>
      <c r="E30" s="59"/>
      <c r="F30" s="6"/>
      <c r="G30" s="6"/>
      <c r="H30" s="14" t="s">
        <v>178</v>
      </c>
      <c r="I30" s="5" t="s">
        <v>226</v>
      </c>
      <c r="J30" s="5" t="s">
        <v>225</v>
      </c>
      <c r="K30" s="5" t="s">
        <v>224</v>
      </c>
      <c r="L30" s="5">
        <v>1</v>
      </c>
      <c r="M30" s="4" t="s">
        <v>28</v>
      </c>
      <c r="N30" s="5" t="s">
        <v>72</v>
      </c>
      <c r="O30" s="6">
        <v>45869</v>
      </c>
      <c r="P30" s="4" t="s">
        <v>9</v>
      </c>
      <c r="Q30" s="4" t="s">
        <v>9</v>
      </c>
      <c r="R30" s="6"/>
      <c r="S30" s="9" t="s">
        <v>223</v>
      </c>
      <c r="T30" s="18">
        <v>45899</v>
      </c>
      <c r="U30" s="87">
        <v>45899</v>
      </c>
      <c r="V30" s="57">
        <f>Tabla2[[#This Row],[FECHA ATRAQUE]]-Tabla2[[#This Row],[ETD]]+1</f>
        <v>48</v>
      </c>
      <c r="W30" s="4">
        <f>IF(Tabla2[[#This Row],[¿PRE ALERTARDO?]]="SI",0,IF(Tabla2[[#This Row],[Columna1]]&gt;=15,1,-1))</f>
        <v>0</v>
      </c>
      <c r="X30" s="2" t="s">
        <v>143</v>
      </c>
      <c r="Y30" s="6">
        <v>45869</v>
      </c>
      <c r="Z30" s="1">
        <f>IF(Tabla2[[#This Row],[¿FACTURADO?]]="SI",0,IF(Tabla2[[#This Row],[Columna1]]&gt;=4,1,-1))</f>
        <v>0</v>
      </c>
      <c r="AA30" s="5" t="s">
        <v>143</v>
      </c>
      <c r="AB30" s="6">
        <v>45894</v>
      </c>
      <c r="AC30" s="6">
        <v>45894</v>
      </c>
      <c r="AD30" s="37">
        <v>5</v>
      </c>
      <c r="AE30" s="35">
        <v>45902</v>
      </c>
      <c r="AF30" s="36">
        <f ca="1">IF(Tabla2[[#This Row],[FACTURACION ALMACENAJE]]="SI",0,IF(Tabla2[[#This Row],[DIAS GENERADOS ALMACENAJE]]&lt;=0,1,-1))</f>
        <v>1</v>
      </c>
      <c r="AG30"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0" s="75" t="s">
        <v>342</v>
      </c>
      <c r="AI30" s="37">
        <v>14</v>
      </c>
      <c r="AJ30" s="35">
        <v>45903</v>
      </c>
      <c r="AK30" s="36">
        <f ca="1">IF(Tabla2[[#This Row],[FACTURACION DEMORAS]]="SI",0,IF(Tabla2[[#This Row],[DIAS GENERADOS DEMORA]]&lt;=0,1,-1))</f>
        <v>1</v>
      </c>
      <c r="AL30"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0" s="35"/>
      <c r="AN30" s="8">
        <v>45867</v>
      </c>
      <c r="AO30" s="4" t="s">
        <v>227</v>
      </c>
      <c r="AP30" s="6">
        <v>45852</v>
      </c>
      <c r="AQ30" s="9" t="s">
        <v>25</v>
      </c>
      <c r="AR30" s="8">
        <v>45881</v>
      </c>
      <c r="AS30" s="15">
        <f>+Tabla2[[#This Row],[FECHA ATRAQUE]]-Tabla2[[#This Row],[ARRIBO A TRANSBORDO]]+1</f>
        <v>19</v>
      </c>
      <c r="AT30" s="6"/>
      <c r="AU30" s="6"/>
      <c r="AV30" s="6"/>
      <c r="AW30" s="6" t="s">
        <v>145</v>
      </c>
      <c r="AX30" s="11">
        <f ca="1">Tabla2[[#This Row],[FECHA ATRAQUE]]-TODAY()</f>
        <v>-42</v>
      </c>
    </row>
    <row r="31" spans="1:51" ht="36" x14ac:dyDescent="0.25">
      <c r="A31" s="1"/>
      <c r="B31" s="76" t="s">
        <v>422</v>
      </c>
      <c r="C31" s="5" t="s">
        <v>26</v>
      </c>
      <c r="D31" s="59" t="s">
        <v>30</v>
      </c>
      <c r="E31" s="59">
        <v>45890</v>
      </c>
      <c r="F31" s="59">
        <v>45889</v>
      </c>
      <c r="G31" s="6" t="s">
        <v>143</v>
      </c>
      <c r="H31" s="14" t="s">
        <v>290</v>
      </c>
      <c r="I31" s="60" t="s">
        <v>449</v>
      </c>
      <c r="J31" s="60" t="s">
        <v>450</v>
      </c>
      <c r="K31" s="60" t="s">
        <v>451</v>
      </c>
      <c r="L31" s="60">
        <v>1</v>
      </c>
      <c r="M31" s="60" t="s">
        <v>28</v>
      </c>
      <c r="N31" s="60" t="s">
        <v>72</v>
      </c>
      <c r="O31" s="77"/>
      <c r="P31" s="61" t="s">
        <v>9</v>
      </c>
      <c r="Q31" s="4" t="s">
        <v>9</v>
      </c>
      <c r="R31" s="59"/>
      <c r="S31" s="78" t="s">
        <v>223</v>
      </c>
      <c r="T31" s="62">
        <v>45899</v>
      </c>
      <c r="U31" s="62">
        <v>45899</v>
      </c>
      <c r="V31" s="57">
        <f>Tabla2[[#This Row],[FECHA ATRAQUE]]-Tabla2[[#This Row],[ETD]]+1</f>
        <v>50</v>
      </c>
      <c r="W31" s="4">
        <f>IF(Tabla2[[#This Row],[¿PRE ALERTARDO?]]="SI",0,IF(Tabla2[[#This Row],[Columna1]]&gt;=15,1,-1))</f>
        <v>0</v>
      </c>
      <c r="X31" s="62" t="s">
        <v>143</v>
      </c>
      <c r="Y31" s="69">
        <v>45871</v>
      </c>
      <c r="Z31" s="1">
        <f>IF(Tabla2[[#This Row],[¿FACTURADO?]]="SI",0,IF(Tabla2[[#This Row],[Columna1]]&gt;=4,1,-1))</f>
        <v>0</v>
      </c>
      <c r="AA31" s="60" t="s">
        <v>143</v>
      </c>
      <c r="AB31" s="59">
        <v>45889</v>
      </c>
      <c r="AC31" s="59">
        <v>45889</v>
      </c>
      <c r="AD31" s="112">
        <v>7</v>
      </c>
      <c r="AE31" s="59">
        <v>45911</v>
      </c>
      <c r="AF31" s="4">
        <f ca="1">IF(Tabla2[[#This Row],[FACTURACION ALMACENAJE]]="SI",0,IF(Tabla2[[#This Row],[DIAS GENERADOS ALMACENAJE]]&lt;=0,1,-1))</f>
        <v>-1</v>
      </c>
      <c r="AG3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6</v>
      </c>
      <c r="AH31" s="59"/>
      <c r="AI31" s="15">
        <v>14</v>
      </c>
      <c r="AJ31" s="59"/>
      <c r="AK31" s="4">
        <f ca="1">IF(Tabla2[[#This Row],[FACTURACION DEMORAS]]="SI",0,IF(Tabla2[[#This Row],[DIAS GENERADOS DEMORA]]&lt;=0,1,-1))</f>
        <v>-1</v>
      </c>
      <c r="AL3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29</v>
      </c>
      <c r="AM31" s="77"/>
      <c r="AN31" s="8">
        <v>45861</v>
      </c>
      <c r="AO31" s="63" t="s">
        <v>375</v>
      </c>
      <c r="AP31" s="59">
        <v>45850</v>
      </c>
      <c r="AQ31" s="64" t="s">
        <v>25</v>
      </c>
      <c r="AR31" s="65">
        <v>45874</v>
      </c>
      <c r="AS31" s="79">
        <f>+Tabla2[[#This Row],[FECHA ATRAQUE]]-Tabla2[[#This Row],[ARRIBO A TRANSBORDO]]+1</f>
        <v>26</v>
      </c>
      <c r="AT31" s="59"/>
      <c r="AU31" s="59"/>
      <c r="AV31" s="6"/>
      <c r="AW31" s="6" t="s">
        <v>145</v>
      </c>
      <c r="AX31" s="11">
        <f ca="1">Tabla2[[#This Row],[FECHA ATRAQUE]]-TODAY()</f>
        <v>-42</v>
      </c>
    </row>
    <row r="32" spans="1:51" ht="36" x14ac:dyDescent="0.25">
      <c r="A32" s="1"/>
      <c r="B32" s="40" t="s">
        <v>424</v>
      </c>
      <c r="C32" s="5" t="s">
        <v>26</v>
      </c>
      <c r="D32" s="41">
        <v>45896</v>
      </c>
      <c r="E32" s="6" t="s">
        <v>30</v>
      </c>
      <c r="F32" s="6">
        <v>45863</v>
      </c>
      <c r="G32" s="6" t="s">
        <v>143</v>
      </c>
      <c r="H32" s="14" t="s">
        <v>290</v>
      </c>
      <c r="I32" s="5" t="s">
        <v>455</v>
      </c>
      <c r="J32" s="5" t="s">
        <v>456</v>
      </c>
      <c r="K32" s="5" t="s">
        <v>457</v>
      </c>
      <c r="L32" s="5">
        <v>1</v>
      </c>
      <c r="M32" s="5" t="s">
        <v>28</v>
      </c>
      <c r="N32" s="5" t="s">
        <v>72</v>
      </c>
      <c r="O32" s="6"/>
      <c r="P32" s="4" t="s">
        <v>9</v>
      </c>
      <c r="Q32" s="4" t="s">
        <v>9</v>
      </c>
      <c r="R32" s="6"/>
      <c r="S32" s="44" t="s">
        <v>223</v>
      </c>
      <c r="T32" s="2">
        <v>45899</v>
      </c>
      <c r="U32" s="2">
        <v>45899</v>
      </c>
      <c r="V32" s="57">
        <f>Tabla2[[#This Row],[FECHA ATRAQUE]]-Tabla2[[#This Row],[ETD]]+1</f>
        <v>36</v>
      </c>
      <c r="W32" s="4">
        <f>IF(Tabla2[[#This Row],[¿PRE ALERTARDO?]]="SI",0,IF(Tabla2[[#This Row],[Columna1]]&gt;=15,1,-1))</f>
        <v>0</v>
      </c>
      <c r="X32" s="2" t="s">
        <v>143</v>
      </c>
      <c r="Y32" s="2">
        <v>45863</v>
      </c>
      <c r="Z32" s="1">
        <f>IF(Tabla2[[#This Row],[¿FACTURADO?]]="SI",0,IF(Tabla2[[#This Row],[Columna1]]&gt;=4,1,-1))</f>
        <v>0</v>
      </c>
      <c r="AA32" s="5" t="s">
        <v>143</v>
      </c>
      <c r="AB32" s="6">
        <v>45863</v>
      </c>
      <c r="AC32" s="6">
        <v>45863</v>
      </c>
      <c r="AD32" s="112">
        <v>7</v>
      </c>
      <c r="AE32" s="6">
        <v>45906</v>
      </c>
      <c r="AF32" s="4">
        <f>IF(Tabla2[[#This Row],[FACTURACION ALMACENAJE]]="SI",0,IF(Tabla2[[#This Row],[DIAS GENERADOS ALMACENAJE]]&lt;=0,1,-1))</f>
        <v>0</v>
      </c>
      <c r="AG3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v>
      </c>
      <c r="AH32" s="6" t="s">
        <v>143</v>
      </c>
      <c r="AI32" s="15">
        <v>14</v>
      </c>
      <c r="AJ32" s="6"/>
      <c r="AK32" s="4">
        <f ca="1">IF(Tabla2[[#This Row],[FACTURACION DEMORAS]]="SI",0,IF(Tabla2[[#This Row],[DIAS GENERADOS DEMORA]]&lt;=0,1,-1))</f>
        <v>-1</v>
      </c>
      <c r="AL3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29</v>
      </c>
      <c r="AM32" s="6"/>
      <c r="AN32" s="8">
        <v>45885</v>
      </c>
      <c r="AO32" s="7" t="s">
        <v>332</v>
      </c>
      <c r="AP32" s="6">
        <v>45864</v>
      </c>
      <c r="AQ32" s="9" t="s">
        <v>25</v>
      </c>
      <c r="AR32" s="8">
        <v>45881</v>
      </c>
      <c r="AS32" s="15">
        <f>+Tabla2[[#This Row],[FECHA ATRAQUE]]-Tabla2[[#This Row],[ARRIBO A TRANSBORDO]]+1</f>
        <v>19</v>
      </c>
      <c r="AT32" s="6"/>
      <c r="AU32" s="6"/>
      <c r="AV32" s="6"/>
      <c r="AW32" s="6" t="s">
        <v>145</v>
      </c>
      <c r="AX32" s="11">
        <f ca="1">Tabla2[[#This Row],[FECHA ATRAQUE]]-TODAY()</f>
        <v>-42</v>
      </c>
    </row>
    <row r="33" spans="1:51" ht="36" x14ac:dyDescent="0.25">
      <c r="A33" s="93" t="s">
        <v>481</v>
      </c>
      <c r="B33" s="122" t="s">
        <v>423</v>
      </c>
      <c r="C33" s="5" t="s">
        <v>21</v>
      </c>
      <c r="D33" s="41" t="s">
        <v>30</v>
      </c>
      <c r="E33" s="109">
        <v>45890</v>
      </c>
      <c r="F33" s="6">
        <v>45863</v>
      </c>
      <c r="G33" s="6" t="s">
        <v>143</v>
      </c>
      <c r="H33" s="14" t="s">
        <v>290</v>
      </c>
      <c r="I33" s="5" t="s">
        <v>452</v>
      </c>
      <c r="J33" s="5" t="s">
        <v>453</v>
      </c>
      <c r="K33" s="5" t="s">
        <v>454</v>
      </c>
      <c r="L33" s="5">
        <v>1</v>
      </c>
      <c r="M33" s="5" t="s">
        <v>28</v>
      </c>
      <c r="N33" s="5" t="s">
        <v>72</v>
      </c>
      <c r="O33" s="6"/>
      <c r="P33" s="4" t="s">
        <v>9</v>
      </c>
      <c r="Q33" s="4" t="s">
        <v>9</v>
      </c>
      <c r="R33" s="6"/>
      <c r="S33" s="44" t="s">
        <v>223</v>
      </c>
      <c r="T33" s="2">
        <v>45899</v>
      </c>
      <c r="U33" s="2">
        <v>45899</v>
      </c>
      <c r="V33" s="57">
        <f>Tabla2[[#This Row],[FECHA ATRAQUE]]-Tabla2[[#This Row],[ETD]]+1</f>
        <v>36</v>
      </c>
      <c r="W33" s="4">
        <f>IF(Tabla2[[#This Row],[¿PRE ALERTARDO?]]="SI",0,IF(Tabla2[[#This Row],[Columna1]]&gt;=15,1,-1))</f>
        <v>0</v>
      </c>
      <c r="X33" s="2" t="s">
        <v>143</v>
      </c>
      <c r="Y33" s="2">
        <v>45863</v>
      </c>
      <c r="Z33" s="1">
        <f>IF(Tabla2[[#This Row],[¿FACTURADO?]]="SI",0,IF(Tabla2[[#This Row],[Columna1]]&gt;=4,1,-1))</f>
        <v>0</v>
      </c>
      <c r="AA33" s="5" t="s">
        <v>143</v>
      </c>
      <c r="AB33" s="6">
        <v>45863</v>
      </c>
      <c r="AC33" s="6">
        <v>45863</v>
      </c>
      <c r="AD33" s="112">
        <v>7</v>
      </c>
      <c r="AE33" s="6"/>
      <c r="AF33" s="4">
        <f ca="1">IF(Tabla2[[#This Row],[FACTURACION ALMACENAJE]]="SI",0,IF(Tabla2[[#This Row],[DIAS GENERADOS ALMACENAJE]]&lt;=0,1,-1))</f>
        <v>-1</v>
      </c>
      <c r="AG3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36</v>
      </c>
      <c r="AH33" s="6"/>
      <c r="AI33" s="15">
        <v>14</v>
      </c>
      <c r="AJ33" s="6"/>
      <c r="AK33" s="4">
        <f ca="1">IF(Tabla2[[#This Row],[FACTURACION DEMORAS]]="SI",0,IF(Tabla2[[#This Row],[DIAS GENERADOS DEMORA]]&lt;=0,1,-1))</f>
        <v>-1</v>
      </c>
      <c r="AL3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29</v>
      </c>
      <c r="AM33" s="6"/>
      <c r="AN33" s="8">
        <v>45885</v>
      </c>
      <c r="AO33" s="7" t="s">
        <v>332</v>
      </c>
      <c r="AP33" s="6">
        <v>45864</v>
      </c>
      <c r="AQ33" s="9" t="s">
        <v>25</v>
      </c>
      <c r="AR33" s="8">
        <v>45881</v>
      </c>
      <c r="AS33" s="15">
        <f>+Tabla2[[#This Row],[FECHA ATRAQUE]]-Tabla2[[#This Row],[ARRIBO A TRANSBORDO]]+1</f>
        <v>19</v>
      </c>
      <c r="AT33" s="6">
        <v>45895</v>
      </c>
      <c r="AU33" s="6">
        <v>45906</v>
      </c>
      <c r="AV33" s="6"/>
      <c r="AW33" s="6" t="s">
        <v>145</v>
      </c>
      <c r="AX33" s="11">
        <f ca="1">Tabla2[[#This Row],[FECHA ATRAQUE]]-TODAY()</f>
        <v>-42</v>
      </c>
    </row>
    <row r="34" spans="1:51" ht="36" x14ac:dyDescent="0.25">
      <c r="A34" s="1"/>
      <c r="B34" s="40" t="s">
        <v>425</v>
      </c>
      <c r="C34" s="5" t="s">
        <v>26</v>
      </c>
      <c r="D34" s="41" t="s">
        <v>30</v>
      </c>
      <c r="E34" s="6">
        <v>45896</v>
      </c>
      <c r="F34" s="6">
        <v>45863</v>
      </c>
      <c r="G34" s="6" t="s">
        <v>143</v>
      </c>
      <c r="H34" s="14" t="s">
        <v>290</v>
      </c>
      <c r="I34" s="5" t="s">
        <v>458</v>
      </c>
      <c r="J34" s="5" t="s">
        <v>459</v>
      </c>
      <c r="K34" s="5" t="s">
        <v>460</v>
      </c>
      <c r="L34" s="5">
        <v>1</v>
      </c>
      <c r="M34" s="5" t="s">
        <v>28</v>
      </c>
      <c r="N34" s="5" t="s">
        <v>72</v>
      </c>
      <c r="O34" s="6"/>
      <c r="P34" s="4" t="s">
        <v>9</v>
      </c>
      <c r="Q34" s="4" t="s">
        <v>9</v>
      </c>
      <c r="R34" s="6"/>
      <c r="S34" s="44" t="s">
        <v>223</v>
      </c>
      <c r="T34" s="2">
        <v>45900</v>
      </c>
      <c r="U34" s="2">
        <v>45900</v>
      </c>
      <c r="V34" s="57">
        <f>Tabla2[[#This Row],[FECHA ATRAQUE]]-Tabla2[[#This Row],[ETD]]+1</f>
        <v>38</v>
      </c>
      <c r="W34" s="4">
        <f>IF(Tabla2[[#This Row],[¿PRE ALERTARDO?]]="SI",0,IF(Tabla2[[#This Row],[Columna1]]&gt;=15,1,-1))</f>
        <v>0</v>
      </c>
      <c r="X34" s="2" t="s">
        <v>143</v>
      </c>
      <c r="Y34" s="2">
        <v>45863</v>
      </c>
      <c r="Z34" s="1">
        <f>IF(Tabla2[[#This Row],[¿FACTURADO?]]="SI",0,IF(Tabla2[[#This Row],[Columna1]]&gt;=4,1,-1))</f>
        <v>0</v>
      </c>
      <c r="AA34" s="5" t="s">
        <v>143</v>
      </c>
      <c r="AB34" s="6">
        <v>45863</v>
      </c>
      <c r="AC34" s="6">
        <v>45863</v>
      </c>
      <c r="AD34" s="112">
        <v>7</v>
      </c>
      <c r="AE34" s="6">
        <v>45909</v>
      </c>
      <c r="AF34" s="4">
        <f>IF(Tabla2[[#This Row],[FACTURACION ALMACENAJE]]="SI",0,IF(Tabla2[[#This Row],[DIAS GENERADOS ALMACENAJE]]&lt;=0,1,-1))</f>
        <v>0</v>
      </c>
      <c r="AG3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3</v>
      </c>
      <c r="AH34" s="6" t="s">
        <v>143</v>
      </c>
      <c r="AI34" s="15">
        <v>14</v>
      </c>
      <c r="AJ34" s="6">
        <v>45909</v>
      </c>
      <c r="AK34" s="4">
        <f ca="1">IF(Tabla2[[#This Row],[FACTURACION DEMORAS]]="SI",0,IF(Tabla2[[#This Row],[DIAS GENERADOS DEMORA]]&lt;=0,1,-1))</f>
        <v>1</v>
      </c>
      <c r="AL3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4" s="6"/>
      <c r="AN34" s="8">
        <v>45885</v>
      </c>
      <c r="AO34" s="7" t="s">
        <v>332</v>
      </c>
      <c r="AP34" s="6">
        <v>45863</v>
      </c>
      <c r="AQ34" s="9" t="s">
        <v>25</v>
      </c>
      <c r="AR34" s="8">
        <v>45881</v>
      </c>
      <c r="AS34" s="15">
        <f>+Tabla2[[#This Row],[FECHA ATRAQUE]]-Tabla2[[#This Row],[ARRIBO A TRANSBORDO]]+1</f>
        <v>20</v>
      </c>
      <c r="AT34" s="6"/>
      <c r="AU34" s="6"/>
      <c r="AV34" s="6"/>
      <c r="AW34" s="6" t="s">
        <v>145</v>
      </c>
      <c r="AX34" s="74">
        <f ca="1">Tabla2[[#This Row],[FECHA ATRAQUE]]-TODAY()</f>
        <v>-41</v>
      </c>
    </row>
    <row r="35" spans="1:51" ht="108" x14ac:dyDescent="0.25">
      <c r="A35" s="94" t="s">
        <v>496</v>
      </c>
      <c r="B35" s="106" t="s">
        <v>382</v>
      </c>
      <c r="C35" s="4" t="s">
        <v>475</v>
      </c>
      <c r="D35" s="41" t="s">
        <v>30</v>
      </c>
      <c r="E35" s="109" t="s">
        <v>484</v>
      </c>
      <c r="F35" s="6">
        <v>45881</v>
      </c>
      <c r="G35" s="6" t="s">
        <v>143</v>
      </c>
      <c r="H35" s="14" t="s">
        <v>290</v>
      </c>
      <c r="I35" s="5" t="s">
        <v>383</v>
      </c>
      <c r="J35" s="5" t="s">
        <v>384</v>
      </c>
      <c r="K35" s="5" t="s">
        <v>385</v>
      </c>
      <c r="L35" s="5">
        <v>1</v>
      </c>
      <c r="M35" s="4" t="s">
        <v>28</v>
      </c>
      <c r="N35" s="5" t="s">
        <v>32</v>
      </c>
      <c r="O35" s="6">
        <v>45876</v>
      </c>
      <c r="P35" s="4" t="s">
        <v>9</v>
      </c>
      <c r="Q35" s="4" t="s">
        <v>9</v>
      </c>
      <c r="R35" s="6"/>
      <c r="S35" s="70" t="s">
        <v>401</v>
      </c>
      <c r="T35" s="82">
        <v>45913</v>
      </c>
      <c r="U35" s="87"/>
      <c r="V35" s="57">
        <v>62</v>
      </c>
      <c r="W35" s="4">
        <v>0</v>
      </c>
      <c r="X35" s="2" t="s">
        <v>143</v>
      </c>
      <c r="Y35" s="2">
        <v>45870</v>
      </c>
      <c r="Z35" s="1">
        <f>IF(Tabla2[[#This Row],[¿FACTURADO?]]="SI",0,IF(Tabla2[[#This Row],[Columna1]]&gt;=4,1,-1))</f>
        <v>0</v>
      </c>
      <c r="AA35" s="5" t="s">
        <v>143</v>
      </c>
      <c r="AB35" s="6">
        <v>45881</v>
      </c>
      <c r="AC35" s="6">
        <v>45881</v>
      </c>
      <c r="AD35" s="112">
        <v>7</v>
      </c>
      <c r="AE35" s="6"/>
      <c r="AF35" s="1">
        <f ca="1">IF(Tabla2[[#This Row],[FACTURACION ALMACENAJE]]="SI",0,IF(Tabla2[[#This Row],[DIAS GENERADOS ALMACENAJE]]&lt;=0,1,-1))</f>
        <v>1</v>
      </c>
      <c r="AG3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5" s="6"/>
      <c r="AI35" s="15">
        <v>14</v>
      </c>
      <c r="AJ35" s="6"/>
      <c r="AK35" s="1">
        <f ca="1">IF(Tabla2[[#This Row],[FACTURACION DEMORAS]]="SI",0,IF(Tabla2[[#This Row],[DIAS GENERADOS DEMORA]]&lt;=0,1,-1))</f>
        <v>1</v>
      </c>
      <c r="AL3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5" s="6"/>
      <c r="AN35" s="8">
        <v>45860</v>
      </c>
      <c r="AO35" s="7" t="s">
        <v>201</v>
      </c>
      <c r="AP35" s="6">
        <v>45845</v>
      </c>
      <c r="AQ35" s="9" t="s">
        <v>25</v>
      </c>
      <c r="AR35" s="8">
        <v>45875</v>
      </c>
      <c r="AS35" s="15">
        <f>+Tabla2[[#This Row],[FECHA ATRAQUE]]-Tabla2[[#This Row],[ARRIBO A TRANSBORDO]]+1</f>
        <v>39</v>
      </c>
      <c r="AT35" s="6">
        <v>45898</v>
      </c>
      <c r="AU35" s="6">
        <v>45876</v>
      </c>
      <c r="AV35" s="6"/>
      <c r="AW35" s="6" t="s">
        <v>145</v>
      </c>
      <c r="AX35" s="11">
        <f ca="1">Tabla2[[#This Row],[FECHA ATRAQUE]]-TODAY()</f>
        <v>-28</v>
      </c>
    </row>
    <row r="36" spans="1:51" ht="36" x14ac:dyDescent="0.25">
      <c r="A36" s="94" t="s">
        <v>489</v>
      </c>
      <c r="B36" s="123" t="s">
        <v>386</v>
      </c>
      <c r="C36" s="4" t="s">
        <v>475</v>
      </c>
      <c r="D36" s="125">
        <v>45891</v>
      </c>
      <c r="E36" s="6" t="s">
        <v>30</v>
      </c>
      <c r="F36" s="6">
        <v>45902</v>
      </c>
      <c r="G36" s="6" t="s">
        <v>143</v>
      </c>
      <c r="H36" s="14" t="s">
        <v>290</v>
      </c>
      <c r="I36" s="174" t="s">
        <v>387</v>
      </c>
      <c r="J36" s="5" t="s">
        <v>388</v>
      </c>
      <c r="K36" s="4" t="s">
        <v>389</v>
      </c>
      <c r="L36" s="5">
        <v>2</v>
      </c>
      <c r="M36" s="4" t="s">
        <v>28</v>
      </c>
      <c r="N36" s="5" t="s">
        <v>32</v>
      </c>
      <c r="O36" s="6"/>
      <c r="P36" s="4" t="s">
        <v>9</v>
      </c>
      <c r="Q36" s="4" t="s">
        <v>9</v>
      </c>
      <c r="R36" s="6"/>
      <c r="S36" s="70" t="s">
        <v>401</v>
      </c>
      <c r="T36" s="82">
        <v>45913</v>
      </c>
      <c r="U36" s="87"/>
      <c r="V36" s="57">
        <f>Tabla2[[#This Row],[FECHA ATRAQUE]]-Tabla2[[#This Row],[ETD]]+1</f>
        <v>55</v>
      </c>
      <c r="W36" s="4">
        <f>IF(Tabla2[[#This Row],[¿PRE ALERTARDO?]]="SI",0,IF(Tabla2[[#This Row],[Columna1]]&gt;=15,1,-1))</f>
        <v>0</v>
      </c>
      <c r="X36" s="2" t="s">
        <v>143</v>
      </c>
      <c r="Y36" s="121">
        <v>45878</v>
      </c>
      <c r="Z36" s="1">
        <f>IF(Tabla2[[#This Row],[¿FACTURADO?]]="SI",0,IF(Tabla2[[#This Row],[Columna1]]&gt;=4,1,-1))</f>
        <v>0</v>
      </c>
      <c r="AA36" s="5" t="s">
        <v>143</v>
      </c>
      <c r="AB36" s="6">
        <v>45901</v>
      </c>
      <c r="AC36" s="6">
        <v>45901</v>
      </c>
      <c r="AD36" s="112">
        <v>7</v>
      </c>
      <c r="AE36" s="6"/>
      <c r="AF36" s="1">
        <f ca="1">IF(Tabla2[[#This Row],[FACTURACION ALMACENAJE]]="SI",0,IF(Tabla2[[#This Row],[DIAS GENERADOS ALMACENAJE]]&lt;=0,1,-1))</f>
        <v>1</v>
      </c>
      <c r="AG3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6" s="6"/>
      <c r="AI36" s="15">
        <v>14</v>
      </c>
      <c r="AJ36" s="6"/>
      <c r="AK36" s="1">
        <f ca="1">IF(Tabla2[[#This Row],[FACTURACION DEMORAS]]="SI",0,IF(Tabla2[[#This Row],[DIAS GENERADOS DEMORA]]&lt;=0,1,-1))</f>
        <v>1</v>
      </c>
      <c r="AL3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6" s="6"/>
      <c r="AN36" s="8">
        <v>45862</v>
      </c>
      <c r="AO36" s="7" t="s">
        <v>262</v>
      </c>
      <c r="AP36" s="6">
        <v>45859</v>
      </c>
      <c r="AQ36" s="9" t="s">
        <v>25</v>
      </c>
      <c r="AR36" s="8">
        <v>45883</v>
      </c>
      <c r="AS36" s="15">
        <f>+Tabla2[[#This Row],[FECHA ATRAQUE]]-Tabla2[[#This Row],[ARRIBO A TRANSBORDO]]+1</f>
        <v>31</v>
      </c>
      <c r="AT36" s="6">
        <v>45898</v>
      </c>
      <c r="AU36" s="6">
        <v>45888</v>
      </c>
      <c r="AV36" s="6"/>
      <c r="AW36" s="6" t="s">
        <v>145</v>
      </c>
      <c r="AX36" s="11">
        <f ca="1">Tabla2[[#This Row],[FECHA ATRAQUE]]-TODAY()</f>
        <v>-28</v>
      </c>
    </row>
    <row r="37" spans="1:51" ht="36" x14ac:dyDescent="0.25">
      <c r="A37" s="94" t="s">
        <v>490</v>
      </c>
      <c r="B37" s="123" t="s">
        <v>390</v>
      </c>
      <c r="C37" s="4" t="s">
        <v>475</v>
      </c>
      <c r="D37" s="125">
        <v>45891</v>
      </c>
      <c r="E37" s="6" t="s">
        <v>30</v>
      </c>
      <c r="F37" s="6">
        <v>45902</v>
      </c>
      <c r="G37" s="6" t="s">
        <v>143</v>
      </c>
      <c r="H37" s="14" t="s">
        <v>290</v>
      </c>
      <c r="I37" s="174" t="s">
        <v>391</v>
      </c>
      <c r="J37" s="5" t="s">
        <v>392</v>
      </c>
      <c r="K37" s="4" t="s">
        <v>479</v>
      </c>
      <c r="L37" s="5">
        <v>2</v>
      </c>
      <c r="M37" s="4" t="s">
        <v>28</v>
      </c>
      <c r="N37" s="5" t="s">
        <v>32</v>
      </c>
      <c r="O37" s="6"/>
      <c r="P37" s="4" t="s">
        <v>9</v>
      </c>
      <c r="Q37" s="4" t="s">
        <v>9</v>
      </c>
      <c r="R37" s="6"/>
      <c r="S37" s="70" t="s">
        <v>401</v>
      </c>
      <c r="T37" s="82">
        <v>45913</v>
      </c>
      <c r="U37" s="87"/>
      <c r="V37" s="57">
        <f>Tabla2[[#This Row],[FECHA ATRAQUE]]-Tabla2[[#This Row],[ETD]]+1</f>
        <v>55</v>
      </c>
      <c r="W37" s="4">
        <f>IF(Tabla2[[#This Row],[¿PRE ALERTARDO?]]="SI",0,IF(Tabla2[[#This Row],[Columna1]]&gt;=15,1,-1))</f>
        <v>0</v>
      </c>
      <c r="X37" s="2" t="s">
        <v>143</v>
      </c>
      <c r="Y37" s="121">
        <v>45878</v>
      </c>
      <c r="Z37" s="1">
        <f>IF(Tabla2[[#This Row],[¿FACTURADO?]]="SI",0,IF(Tabla2[[#This Row],[Columna1]]&gt;=4,1,-1))</f>
        <v>0</v>
      </c>
      <c r="AA37" s="5" t="s">
        <v>143</v>
      </c>
      <c r="AB37" s="6">
        <v>45901</v>
      </c>
      <c r="AC37" s="6">
        <v>45902</v>
      </c>
      <c r="AD37" s="15">
        <v>7</v>
      </c>
      <c r="AE37" s="6"/>
      <c r="AF37" s="1">
        <f ca="1">IF(Tabla2[[#This Row],[FACTURACION ALMACENAJE]]="SI",0,IF(Tabla2[[#This Row],[DIAS GENERADOS ALMACENAJE]]&lt;=0,1,-1))</f>
        <v>1</v>
      </c>
      <c r="AG3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7" s="6"/>
      <c r="AI37" s="15">
        <v>14</v>
      </c>
      <c r="AJ37" s="6"/>
      <c r="AK37" s="1">
        <f ca="1">IF(Tabla2[[#This Row],[FACTURACION DEMORAS]]="SI",0,IF(Tabla2[[#This Row],[DIAS GENERADOS DEMORA]]&lt;=0,1,-1))</f>
        <v>1</v>
      </c>
      <c r="AL3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7" s="6"/>
      <c r="AN37" s="8">
        <v>45862</v>
      </c>
      <c r="AO37" s="7" t="s">
        <v>262</v>
      </c>
      <c r="AP37" s="6">
        <v>45859</v>
      </c>
      <c r="AQ37" s="9" t="s">
        <v>25</v>
      </c>
      <c r="AR37" s="8">
        <v>45883</v>
      </c>
      <c r="AS37" s="15">
        <f>+Tabla2[[#This Row],[FECHA ATRAQUE]]-Tabla2[[#This Row],[ARRIBO A TRANSBORDO]]+1</f>
        <v>31</v>
      </c>
      <c r="AT37" s="6">
        <v>45898</v>
      </c>
      <c r="AU37" s="6">
        <v>45888</v>
      </c>
      <c r="AV37" s="6"/>
      <c r="AW37" s="6" t="s">
        <v>145</v>
      </c>
      <c r="AX37" s="11">
        <f ca="1">Tabla2[[#This Row],[FECHA ATRAQUE]]-TODAY()</f>
        <v>-28</v>
      </c>
    </row>
    <row r="38" spans="1:51" s="116" customFormat="1" ht="36" x14ac:dyDescent="0.25">
      <c r="A38" s="94" t="s">
        <v>489</v>
      </c>
      <c r="B38" s="123" t="s">
        <v>393</v>
      </c>
      <c r="C38" s="4" t="s">
        <v>475</v>
      </c>
      <c r="D38" s="125">
        <v>45896</v>
      </c>
      <c r="E38" s="6" t="s">
        <v>30</v>
      </c>
      <c r="F38" s="6">
        <v>45902</v>
      </c>
      <c r="G38" s="6" t="s">
        <v>143</v>
      </c>
      <c r="H38" s="14" t="s">
        <v>290</v>
      </c>
      <c r="I38" s="5" t="s">
        <v>394</v>
      </c>
      <c r="J38" s="5" t="s">
        <v>395</v>
      </c>
      <c r="K38" s="5" t="s">
        <v>396</v>
      </c>
      <c r="L38" s="5">
        <v>1</v>
      </c>
      <c r="M38" s="5" t="s">
        <v>28</v>
      </c>
      <c r="N38" s="5" t="s">
        <v>32</v>
      </c>
      <c r="O38" s="6"/>
      <c r="P38" s="4" t="s">
        <v>9</v>
      </c>
      <c r="Q38" s="4" t="s">
        <v>9</v>
      </c>
      <c r="R38" s="6"/>
      <c r="S38" s="70" t="s">
        <v>401</v>
      </c>
      <c r="T38" s="82">
        <v>45913</v>
      </c>
      <c r="U38" s="87"/>
      <c r="V38" s="57">
        <f>Tabla2[[#This Row],[FECHA ATRAQUE]]-Tabla2[[#This Row],[ETD]]+1</f>
        <v>64</v>
      </c>
      <c r="W38" s="4">
        <f>IF(Tabla2[[#This Row],[¿PRE ALERTARDO?]]="SI",0,IF(Tabla2[[#This Row],[Columna1]]&gt;=15,1,-1))</f>
        <v>0</v>
      </c>
      <c r="X38" s="2" t="s">
        <v>143</v>
      </c>
      <c r="Y38" s="2">
        <v>45880</v>
      </c>
      <c r="Z38" s="1">
        <f>IF(Tabla2[[#This Row],[¿FACTURADO?]]="SI",0,IF(Tabla2[[#This Row],[Columna1]]&gt;=4,1,-1))</f>
        <v>0</v>
      </c>
      <c r="AA38" s="5" t="s">
        <v>143</v>
      </c>
      <c r="AB38" s="6">
        <v>45901</v>
      </c>
      <c r="AC38" s="6">
        <v>45901</v>
      </c>
      <c r="AD38" s="15">
        <v>7</v>
      </c>
      <c r="AE38" s="6"/>
      <c r="AF38" s="4">
        <f ca="1">IF(Tabla2[[#This Row],[FACTURACION ALMACENAJE]]="SI",0,IF(Tabla2[[#This Row],[DIAS GENERADOS ALMACENAJE]]&lt;=0,1,-1))</f>
        <v>1</v>
      </c>
      <c r="AG3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8" s="6"/>
      <c r="AI38" s="15">
        <v>14</v>
      </c>
      <c r="AJ38" s="6"/>
      <c r="AK38" s="4">
        <f ca="1">IF(Tabla2[[#This Row],[FACTURACION DEMORAS]]="SI",0,IF(Tabla2[[#This Row],[DIAS GENERADOS DEMORA]]&lt;=0,1,-1))</f>
        <v>1</v>
      </c>
      <c r="AL3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8" s="6"/>
      <c r="AN38" s="8">
        <v>45866</v>
      </c>
      <c r="AO38" s="7" t="s">
        <v>237</v>
      </c>
      <c r="AP38" s="6">
        <v>45850</v>
      </c>
      <c r="AQ38" s="9" t="s">
        <v>25</v>
      </c>
      <c r="AR38" s="8">
        <v>45883</v>
      </c>
      <c r="AS38" s="15">
        <v>24</v>
      </c>
      <c r="AT38" s="6">
        <v>45898</v>
      </c>
      <c r="AU38" s="6">
        <v>45897</v>
      </c>
      <c r="AV38" s="6"/>
      <c r="AW38" s="6" t="s">
        <v>145</v>
      </c>
      <c r="AX38" s="11">
        <f ca="1">Tabla2[[#This Row],[FECHA ATRAQUE]]-TODAY()</f>
        <v>-28</v>
      </c>
      <c r="AY38" s="115"/>
    </row>
    <row r="39" spans="1:51" s="116" customFormat="1" ht="36" x14ac:dyDescent="0.25">
      <c r="A39" s="93" t="s">
        <v>480</v>
      </c>
      <c r="B39" s="106" t="s">
        <v>397</v>
      </c>
      <c r="C39" s="4" t="s">
        <v>475</v>
      </c>
      <c r="D39" s="41" t="s">
        <v>30</v>
      </c>
      <c r="E39" s="109" t="s">
        <v>487</v>
      </c>
      <c r="F39" s="6">
        <v>45902</v>
      </c>
      <c r="G39" s="6" t="s">
        <v>143</v>
      </c>
      <c r="H39" s="14" t="s">
        <v>290</v>
      </c>
      <c r="I39" s="5" t="s">
        <v>398</v>
      </c>
      <c r="J39" s="5" t="s">
        <v>399</v>
      </c>
      <c r="K39" s="4" t="s">
        <v>400</v>
      </c>
      <c r="L39" s="5">
        <v>2</v>
      </c>
      <c r="M39" s="5" t="s">
        <v>28</v>
      </c>
      <c r="N39" s="5" t="s">
        <v>32</v>
      </c>
      <c r="O39" s="6"/>
      <c r="P39" s="4" t="s">
        <v>9</v>
      </c>
      <c r="Q39" s="4" t="s">
        <v>9</v>
      </c>
      <c r="R39" s="6"/>
      <c r="S39" s="70" t="s">
        <v>401</v>
      </c>
      <c r="T39" s="82">
        <v>45913</v>
      </c>
      <c r="U39" s="87"/>
      <c r="V39" s="57">
        <f>Tabla2[[#This Row],[FECHA ATRAQUE]]-Tabla2[[#This Row],[ETD]]+1</f>
        <v>55</v>
      </c>
      <c r="W39" s="4">
        <f>IF(Tabla2[[#This Row],[¿PRE ALERTARDO?]]="SI",0,IF(Tabla2[[#This Row],[Columna1]]&gt;=15,1,-1))</f>
        <v>0</v>
      </c>
      <c r="X39" s="2" t="s">
        <v>143</v>
      </c>
      <c r="Y39" s="2">
        <v>45880</v>
      </c>
      <c r="Z39" s="1">
        <f>IF(Tabla2[[#This Row],[¿FACTURADO?]]="SI",0,IF(Tabla2[[#This Row],[Columna1]]&gt;=4,1,-1))</f>
        <v>0</v>
      </c>
      <c r="AA39" s="5" t="s">
        <v>143</v>
      </c>
      <c r="AB39" s="6">
        <v>45901</v>
      </c>
      <c r="AC39" s="6">
        <v>45901</v>
      </c>
      <c r="AD39" s="15">
        <v>7</v>
      </c>
      <c r="AE39" s="6"/>
      <c r="AF39" s="4">
        <f ca="1">IF(Tabla2[[#This Row],[FACTURACION ALMACENAJE]]="SI",0,IF(Tabla2[[#This Row],[DIAS GENERADOS ALMACENAJE]]&lt;=0,1,-1))</f>
        <v>1</v>
      </c>
      <c r="AG3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9" s="6"/>
      <c r="AI39" s="15">
        <v>14</v>
      </c>
      <c r="AJ39" s="6"/>
      <c r="AK39" s="4">
        <f ca="1">IF(Tabla2[[#This Row],[FACTURACION DEMORAS]]="SI",0,IF(Tabla2[[#This Row],[DIAS GENERADOS DEMORA]]&lt;=0,1,-1))</f>
        <v>1</v>
      </c>
      <c r="AL3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9" s="6"/>
      <c r="AN39" s="8">
        <v>45867</v>
      </c>
      <c r="AO39" s="7" t="s">
        <v>402</v>
      </c>
      <c r="AP39" s="6">
        <v>45859</v>
      </c>
      <c r="AQ39" s="9" t="s">
        <v>25</v>
      </c>
      <c r="AR39" s="8">
        <v>45883</v>
      </c>
      <c r="AS39" s="15">
        <v>24</v>
      </c>
      <c r="AT39" s="6">
        <v>45903</v>
      </c>
      <c r="AU39" s="6">
        <v>45888</v>
      </c>
      <c r="AV39" s="6"/>
      <c r="AW39" s="6" t="s">
        <v>145</v>
      </c>
      <c r="AX39" s="11">
        <f ca="1">Tabla2[[#This Row],[FECHA ATRAQUE]]-TODAY()</f>
        <v>-28</v>
      </c>
      <c r="AY39" s="115"/>
    </row>
    <row r="40" spans="1:51" s="116" customFormat="1" ht="192" x14ac:dyDescent="0.25">
      <c r="A40" s="94" t="s">
        <v>492</v>
      </c>
      <c r="B40" s="106" t="s">
        <v>353</v>
      </c>
      <c r="C40" s="151" t="s">
        <v>11</v>
      </c>
      <c r="D40" s="41" t="s">
        <v>483</v>
      </c>
      <c r="E40" s="109" t="s">
        <v>494</v>
      </c>
      <c r="F40" s="6">
        <v>45919</v>
      </c>
      <c r="G40" s="6" t="s">
        <v>143</v>
      </c>
      <c r="H40" s="14" t="s">
        <v>290</v>
      </c>
      <c r="I40" s="5" t="s">
        <v>354</v>
      </c>
      <c r="J40" s="5" t="s">
        <v>355</v>
      </c>
      <c r="K40" s="5" t="s">
        <v>356</v>
      </c>
      <c r="L40" s="5">
        <v>1</v>
      </c>
      <c r="M40" s="4" t="s">
        <v>28</v>
      </c>
      <c r="N40" s="5" t="s">
        <v>32</v>
      </c>
      <c r="O40" s="6"/>
      <c r="P40" s="4" t="s">
        <v>9</v>
      </c>
      <c r="Q40" s="4" t="s">
        <v>9</v>
      </c>
      <c r="R40" s="6"/>
      <c r="S40" s="107" t="s">
        <v>299</v>
      </c>
      <c r="T40" s="82">
        <v>45920</v>
      </c>
      <c r="U40" s="87"/>
      <c r="V40" s="57">
        <f>Tabla2[[#This Row],[FECHA ATRAQUE]]-Tabla2[[#This Row],[ETD]]+1</f>
        <v>78</v>
      </c>
      <c r="W40" s="4">
        <f>IF(Tabla2[[#This Row],[¿PRE ALERTARDO?]]="SI",0,IF(Tabla2[[#This Row],[Columna1]]&gt;=15,1,-1))</f>
        <v>0</v>
      </c>
      <c r="X40" s="2" t="s">
        <v>143</v>
      </c>
      <c r="Y40" s="69">
        <v>45880</v>
      </c>
      <c r="Z40" s="1">
        <f>IF(Tabla2[[#This Row],[¿FACTURADO?]]="SI",0,IF(Tabla2[[#This Row],[Columna1]]&gt;=4,1,-1))</f>
        <v>0</v>
      </c>
      <c r="AA40" s="5" t="s">
        <v>143</v>
      </c>
      <c r="AB40" s="6">
        <v>45918</v>
      </c>
      <c r="AC40" s="6">
        <v>45918</v>
      </c>
      <c r="AD40" s="15">
        <v>7</v>
      </c>
      <c r="AE40" s="6"/>
      <c r="AF40" s="1">
        <f ca="1">IF(Tabla2[[#This Row],[FACTURACION ALMACENAJE]]="SI",0,IF(Tabla2[[#This Row],[DIAS GENERADOS ALMACENAJE]]&lt;=0,1,-1))</f>
        <v>1</v>
      </c>
      <c r="AG4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0" s="6"/>
      <c r="AI40" s="15">
        <v>14</v>
      </c>
      <c r="AJ40" s="6"/>
      <c r="AK40" s="1">
        <f ca="1">IF(Tabla2[[#This Row],[FACTURACION DEMORAS]]="SI",0,IF(Tabla2[[#This Row],[DIAS GENERADOS DEMORA]]&lt;=0,1,-1))</f>
        <v>1</v>
      </c>
      <c r="AL4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0" s="6"/>
      <c r="AN40" s="8">
        <v>45857</v>
      </c>
      <c r="AO40" s="7" t="s">
        <v>201</v>
      </c>
      <c r="AP40" s="6">
        <v>45843</v>
      </c>
      <c r="AQ40" s="9" t="s">
        <v>25</v>
      </c>
      <c r="AR40" s="8">
        <v>45889</v>
      </c>
      <c r="AS40" s="15">
        <f>+Tabla2[[#This Row],[FECHA ATRAQUE]]-Tabla2[[#This Row],[ARRIBO A TRANSBORDO]]+1</f>
        <v>32</v>
      </c>
      <c r="AT40" s="6">
        <v>45917</v>
      </c>
      <c r="AU40" s="6">
        <v>45906</v>
      </c>
      <c r="AV40" s="6"/>
      <c r="AW40" s="6" t="s">
        <v>145</v>
      </c>
      <c r="AX40" s="11">
        <f ca="1">Tabla2[[#This Row],[FECHA ATRAQUE]]-TODAY()</f>
        <v>-21</v>
      </c>
      <c r="AY40" s="115"/>
    </row>
    <row r="41" spans="1:51" ht="36" x14ac:dyDescent="0.25">
      <c r="A41" s="94" t="s">
        <v>480</v>
      </c>
      <c r="B41" s="123" t="s">
        <v>357</v>
      </c>
      <c r="C41" s="4" t="s">
        <v>475</v>
      </c>
      <c r="D41" s="41" t="s">
        <v>30</v>
      </c>
      <c r="E41" s="124" t="s">
        <v>488</v>
      </c>
      <c r="F41" s="6">
        <v>45919</v>
      </c>
      <c r="G41" s="6" t="s">
        <v>143</v>
      </c>
      <c r="H41" s="14" t="s">
        <v>290</v>
      </c>
      <c r="I41" s="5" t="s">
        <v>358</v>
      </c>
      <c r="J41" s="5" t="s">
        <v>359</v>
      </c>
      <c r="K41" s="5" t="s">
        <v>360</v>
      </c>
      <c r="L41" s="5">
        <v>1</v>
      </c>
      <c r="M41" s="4" t="s">
        <v>28</v>
      </c>
      <c r="N41" s="5" t="s">
        <v>32</v>
      </c>
      <c r="O41" s="6"/>
      <c r="P41" s="4" t="s">
        <v>9</v>
      </c>
      <c r="Q41" s="4" t="s">
        <v>9</v>
      </c>
      <c r="R41" s="6"/>
      <c r="S41" s="108" t="s">
        <v>299</v>
      </c>
      <c r="T41" s="82">
        <v>45920</v>
      </c>
      <c r="U41" s="87"/>
      <c r="V41" s="57">
        <f>Tabla2[[#This Row],[FECHA ATRAQUE]]-Tabla2[[#This Row],[ETD]]+1</f>
        <v>58</v>
      </c>
      <c r="W41" s="4">
        <f>IF(Tabla2[[#This Row],[¿PRE ALERTARDO?]]="SI",0,IF(Tabla2[[#This Row],[Columna1]]&gt;=15,1,-1))</f>
        <v>0</v>
      </c>
      <c r="X41" s="2" t="s">
        <v>143</v>
      </c>
      <c r="Y41" s="69">
        <v>45880</v>
      </c>
      <c r="Z41" s="1">
        <f>IF(Tabla2[[#This Row],[¿FACTURADO?]]="SI",0,IF(Tabla2[[#This Row],[Columna1]]&gt;=4,1,-1))</f>
        <v>0</v>
      </c>
      <c r="AA41" s="5" t="s">
        <v>143</v>
      </c>
      <c r="AB41" s="6">
        <v>45918</v>
      </c>
      <c r="AC41" s="6">
        <v>45918</v>
      </c>
      <c r="AD41" s="15">
        <v>7</v>
      </c>
      <c r="AE41" s="6"/>
      <c r="AF41" s="1">
        <f ca="1">IF(Tabla2[[#This Row],[FACTURACION ALMACENAJE]]="SI",0,IF(Tabla2[[#This Row],[DIAS GENERADOS ALMACENAJE]]&lt;=0,1,-1))</f>
        <v>1</v>
      </c>
      <c r="AG4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1" s="6"/>
      <c r="AI41" s="15">
        <v>14</v>
      </c>
      <c r="AJ41" s="6"/>
      <c r="AK41" s="1">
        <f ca="1">IF(Tabla2[[#This Row],[FACTURACION DEMORAS]]="SI",0,IF(Tabla2[[#This Row],[DIAS GENERADOS DEMORA]]&lt;=0,1,-1))</f>
        <v>1</v>
      </c>
      <c r="AL4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1" s="6"/>
      <c r="AN41" s="89">
        <v>45868</v>
      </c>
      <c r="AO41" s="5" t="s">
        <v>374</v>
      </c>
      <c r="AP41" s="6">
        <v>45863</v>
      </c>
      <c r="AQ41" s="4" t="s">
        <v>25</v>
      </c>
      <c r="AR41" s="89">
        <v>45903</v>
      </c>
      <c r="AS41" s="15">
        <f>+Tabla2[[#This Row],[FECHA ATRAQUE]]-Tabla2[[#This Row],[ARRIBO A TRANSBORDO]]+1</f>
        <v>18</v>
      </c>
      <c r="AT41" s="6">
        <v>45917</v>
      </c>
      <c r="AU41" s="6">
        <v>45906</v>
      </c>
      <c r="AV41" s="6"/>
      <c r="AW41" s="6" t="s">
        <v>145</v>
      </c>
      <c r="AX41" s="11">
        <f ca="1">Tabla2[[#This Row],[FECHA ATRAQUE]]-TODAY()</f>
        <v>-21</v>
      </c>
    </row>
    <row r="42" spans="1:51" s="116" customFormat="1" ht="36" x14ac:dyDescent="0.25">
      <c r="A42" s="94" t="s">
        <v>532</v>
      </c>
      <c r="B42" s="123" t="s">
        <v>361</v>
      </c>
      <c r="C42" s="151" t="s">
        <v>475</v>
      </c>
      <c r="D42" s="41" t="s">
        <v>30</v>
      </c>
      <c r="E42" s="124" t="s">
        <v>488</v>
      </c>
      <c r="F42" s="6">
        <v>45919</v>
      </c>
      <c r="G42" s="6" t="s">
        <v>143</v>
      </c>
      <c r="H42" s="14" t="s">
        <v>290</v>
      </c>
      <c r="I42" s="5" t="s">
        <v>362</v>
      </c>
      <c r="J42" s="5" t="s">
        <v>363</v>
      </c>
      <c r="K42" s="5" t="s">
        <v>364</v>
      </c>
      <c r="L42" s="5">
        <v>1</v>
      </c>
      <c r="M42" s="4" t="s">
        <v>28</v>
      </c>
      <c r="N42" s="5" t="s">
        <v>32</v>
      </c>
      <c r="O42" s="6"/>
      <c r="P42" s="4" t="s">
        <v>9</v>
      </c>
      <c r="Q42" s="4" t="s">
        <v>9</v>
      </c>
      <c r="R42" s="6"/>
      <c r="S42" s="108" t="s">
        <v>299</v>
      </c>
      <c r="T42" s="82">
        <v>45920</v>
      </c>
      <c r="U42" s="87"/>
      <c r="V42" s="57">
        <f>Tabla2[[#This Row],[FECHA ATRAQUE]]-Tabla2[[#This Row],[ETD]]+1</f>
        <v>69</v>
      </c>
      <c r="W42" s="4">
        <f>IF(Tabla2[[#This Row],[¿PRE ALERTARDO?]]="SI",0,IF(Tabla2[[#This Row],[Columna1]]&gt;=15,1,-1))</f>
        <v>0</v>
      </c>
      <c r="X42" s="2" t="s">
        <v>143</v>
      </c>
      <c r="Y42" s="2">
        <v>45880</v>
      </c>
      <c r="Z42" s="1">
        <f>IF(Tabla2[[#This Row],[¿FACTURADO?]]="SI",0,IF(Tabla2[[#This Row],[Columna1]]&gt;=4,1,-1))</f>
        <v>0</v>
      </c>
      <c r="AA42" s="5" t="s">
        <v>143</v>
      </c>
      <c r="AB42" s="6">
        <v>45918</v>
      </c>
      <c r="AC42" s="6">
        <v>45918</v>
      </c>
      <c r="AD42" s="15">
        <v>7</v>
      </c>
      <c r="AE42" s="6"/>
      <c r="AF42" s="1">
        <f ca="1">IF(Tabla2[[#This Row],[FACTURACION ALMACENAJE]]="SI",0,IF(Tabla2[[#This Row],[DIAS GENERADOS ALMACENAJE]]&lt;=0,1,-1))</f>
        <v>1</v>
      </c>
      <c r="AG4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2" s="6"/>
      <c r="AI42" s="15">
        <v>14</v>
      </c>
      <c r="AJ42" s="6"/>
      <c r="AK42" s="1">
        <f ca="1">IF(Tabla2[[#This Row],[FACTURACION DEMORAS]]="SI",0,IF(Tabla2[[#This Row],[DIAS GENERADOS DEMORA]]&lt;=0,1,-1))</f>
        <v>1</v>
      </c>
      <c r="AL4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2" s="6"/>
      <c r="AN42" s="89">
        <v>45863</v>
      </c>
      <c r="AO42" s="5" t="s">
        <v>375</v>
      </c>
      <c r="AP42" s="6">
        <v>45852</v>
      </c>
      <c r="AQ42" s="4" t="s">
        <v>25</v>
      </c>
      <c r="AR42" s="89">
        <v>45889</v>
      </c>
      <c r="AS42" s="15">
        <f>+Tabla2[[#This Row],[FECHA ATRAQUE]]-Tabla2[[#This Row],[ARRIBO A TRANSBORDO]]+1</f>
        <v>32</v>
      </c>
      <c r="AT42" s="6">
        <v>45917</v>
      </c>
      <c r="AU42" s="6">
        <v>45906</v>
      </c>
      <c r="AV42" s="6"/>
      <c r="AW42" s="6" t="s">
        <v>145</v>
      </c>
      <c r="AX42" s="11">
        <f ca="1">Tabla2[[#This Row],[FECHA ATRAQUE]]-TODAY()</f>
        <v>-21</v>
      </c>
      <c r="AY42" s="115"/>
    </row>
    <row r="43" spans="1:51" s="116" customFormat="1" ht="36" x14ac:dyDescent="0.25">
      <c r="A43" s="94" t="s">
        <v>532</v>
      </c>
      <c r="B43" s="123" t="s">
        <v>365</v>
      </c>
      <c r="C43" s="4" t="s">
        <v>475</v>
      </c>
      <c r="D43" s="41" t="s">
        <v>30</v>
      </c>
      <c r="E43" s="124" t="s">
        <v>488</v>
      </c>
      <c r="F43" s="6">
        <v>45919</v>
      </c>
      <c r="G43" s="6" t="s">
        <v>143</v>
      </c>
      <c r="H43" s="14" t="s">
        <v>290</v>
      </c>
      <c r="I43" s="5" t="s">
        <v>366</v>
      </c>
      <c r="J43" s="5" t="s">
        <v>367</v>
      </c>
      <c r="K43" s="5" t="s">
        <v>368</v>
      </c>
      <c r="L43" s="5">
        <v>1</v>
      </c>
      <c r="M43" s="4" t="s">
        <v>28</v>
      </c>
      <c r="N43" s="5" t="s">
        <v>32</v>
      </c>
      <c r="O43" s="6"/>
      <c r="P43" s="4" t="s">
        <v>9</v>
      </c>
      <c r="Q43" s="4" t="s">
        <v>9</v>
      </c>
      <c r="R43" s="6"/>
      <c r="S43" s="108" t="s">
        <v>299</v>
      </c>
      <c r="T43" s="82">
        <v>45920</v>
      </c>
      <c r="U43" s="87"/>
      <c r="V43" s="57">
        <f>Tabla2[[#This Row],[FECHA ATRAQUE]]-Tabla2[[#This Row],[ETD]]+1</f>
        <v>66</v>
      </c>
      <c r="W43" s="4">
        <f>IF(Tabla2[[#This Row],[¿PRE ALERTARDO?]]="SI",0,IF(Tabla2[[#This Row],[Columna1]]&gt;=15,1,-1))</f>
        <v>0</v>
      </c>
      <c r="X43" s="2" t="s">
        <v>143</v>
      </c>
      <c r="Y43" s="2">
        <v>45880</v>
      </c>
      <c r="Z43" s="1">
        <f>IF(Tabla2[[#This Row],[¿FACTURADO?]]="SI",0,IF(Tabla2[[#This Row],[Columna1]]&gt;=4,1,-1))</f>
        <v>0</v>
      </c>
      <c r="AA43" s="5" t="s">
        <v>143</v>
      </c>
      <c r="AB43" s="6">
        <v>45918</v>
      </c>
      <c r="AC43" s="6">
        <v>45918</v>
      </c>
      <c r="AD43" s="15">
        <v>7</v>
      </c>
      <c r="AE43" s="6"/>
      <c r="AF43" s="1">
        <f ca="1">IF(Tabla2[[#This Row],[FACTURACION ALMACENAJE]]="SI",0,IF(Tabla2[[#This Row],[DIAS GENERADOS ALMACENAJE]]&lt;=0,1,-1))</f>
        <v>1</v>
      </c>
      <c r="AG4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3" s="6"/>
      <c r="AI43" s="15">
        <v>14</v>
      </c>
      <c r="AJ43" s="6"/>
      <c r="AK43" s="1">
        <f ca="1">IF(Tabla2[[#This Row],[FACTURACION DEMORAS]]="SI",0,IF(Tabla2[[#This Row],[DIAS GENERADOS DEMORA]]&lt;=0,1,-1))</f>
        <v>1</v>
      </c>
      <c r="AL4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3" s="6"/>
      <c r="AN43" s="89">
        <v>45866</v>
      </c>
      <c r="AO43" s="5" t="s">
        <v>376</v>
      </c>
      <c r="AP43" s="6">
        <v>45855</v>
      </c>
      <c r="AQ43" s="4" t="s">
        <v>25</v>
      </c>
      <c r="AR43" s="89">
        <v>45889</v>
      </c>
      <c r="AS43" s="15">
        <f>+Tabla2[[#This Row],[FECHA ATRAQUE]]-Tabla2[[#This Row],[ARRIBO A TRANSBORDO]]+1</f>
        <v>32</v>
      </c>
      <c r="AT43" s="6">
        <v>45917</v>
      </c>
      <c r="AU43" s="6">
        <v>45906</v>
      </c>
      <c r="AV43" s="6"/>
      <c r="AW43" s="6" t="s">
        <v>145</v>
      </c>
      <c r="AX43" s="11">
        <f ca="1">Tabla2[[#This Row],[FECHA ATRAQUE]]-TODAY()</f>
        <v>-21</v>
      </c>
      <c r="AY43" s="115"/>
    </row>
    <row r="44" spans="1:51" ht="36" x14ac:dyDescent="0.25">
      <c r="A44" s="94" t="s">
        <v>531</v>
      </c>
      <c r="B44" s="123" t="s">
        <v>295</v>
      </c>
      <c r="C44" s="4" t="s">
        <v>475</v>
      </c>
      <c r="D44" s="125">
        <v>45905</v>
      </c>
      <c r="E44" s="6" t="s">
        <v>30</v>
      </c>
      <c r="F44" s="6">
        <v>45919</v>
      </c>
      <c r="G44" s="6" t="s">
        <v>143</v>
      </c>
      <c r="H44" s="14" t="s">
        <v>290</v>
      </c>
      <c r="I44" s="5" t="s">
        <v>297</v>
      </c>
      <c r="J44" s="5" t="s">
        <v>298</v>
      </c>
      <c r="K44" s="4" t="s">
        <v>343</v>
      </c>
      <c r="L44" s="5">
        <v>2</v>
      </c>
      <c r="M44" s="4" t="s">
        <v>28</v>
      </c>
      <c r="N44" s="4" t="s">
        <v>32</v>
      </c>
      <c r="O44" s="6"/>
      <c r="P44" s="4" t="s">
        <v>9</v>
      </c>
      <c r="Q44" s="4" t="s">
        <v>98</v>
      </c>
      <c r="R44" s="6"/>
      <c r="S44" s="107" t="s">
        <v>299</v>
      </c>
      <c r="T44" s="82">
        <v>45920</v>
      </c>
      <c r="U44" s="87"/>
      <c r="V44" s="57">
        <f>Tabla2[[#This Row],[FECHA ATRAQUE]]-Tabla2[[#This Row],[ETD]]+1</f>
        <v>43</v>
      </c>
      <c r="W44" s="4">
        <f>IF(Tabla2[[#This Row],[¿PRE ALERTARDO?]]="SI",0,IF(Tabla2[[#This Row],[Columna1]]&gt;=15,1,-1))</f>
        <v>0</v>
      </c>
      <c r="X44" s="2" t="s">
        <v>143</v>
      </c>
      <c r="Y44" s="6">
        <v>45902</v>
      </c>
      <c r="Z44" s="1">
        <f>IF(Tabla2[[#This Row],[¿FACTURADO?]]="SI",0,IF(Tabla2[[#This Row],[Columna1]]&gt;=4,1,-1))</f>
        <v>0</v>
      </c>
      <c r="AA44" s="5" t="s">
        <v>143</v>
      </c>
      <c r="AB44" s="6">
        <v>45918</v>
      </c>
      <c r="AC44" s="6">
        <v>45918</v>
      </c>
      <c r="AD44" s="15">
        <v>7</v>
      </c>
      <c r="AE44" s="6"/>
      <c r="AF44" s="1">
        <f ca="1">IF(Tabla2[[#This Row],[FACTURACION ALMACENAJE]]="SI",0,IF(Tabla2[[#This Row],[DIAS GENERADOS ALMACENAJE]]&lt;=0,1,-1))</f>
        <v>1</v>
      </c>
      <c r="AG4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4" s="6"/>
      <c r="AI44" s="15">
        <v>14</v>
      </c>
      <c r="AJ44" s="6"/>
      <c r="AK44" s="1">
        <f ca="1">IF(Tabla2[[#This Row],[FACTURACION DEMORAS]]="SI",0,IF(Tabla2[[#This Row],[DIAS GENERADOS DEMORA]]&lt;=0,1,-1))</f>
        <v>1</v>
      </c>
      <c r="AL4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4" s="6"/>
      <c r="AN44" s="8">
        <v>45896</v>
      </c>
      <c r="AO44" s="7" t="s">
        <v>300</v>
      </c>
      <c r="AP44" s="6">
        <v>45878</v>
      </c>
      <c r="AQ44" s="9" t="s">
        <v>25</v>
      </c>
      <c r="AR44" s="8">
        <v>45903</v>
      </c>
      <c r="AS44" s="15">
        <f>+Tabla2[[#This Row],[FECHA ATRAQUE]]-Tabla2[[#This Row],[ARRIBO A TRANSBORDO]]+1</f>
        <v>18</v>
      </c>
      <c r="AT44" s="6">
        <v>45917</v>
      </c>
      <c r="AU44" s="6">
        <v>45906</v>
      </c>
      <c r="AV44" s="6"/>
      <c r="AW44" s="6" t="s">
        <v>145</v>
      </c>
      <c r="AX44" s="11">
        <f ca="1">Tabla2[[#This Row],[FECHA ATRAQUE]]-TODAY()</f>
        <v>-21</v>
      </c>
    </row>
    <row r="45" spans="1:51" ht="36" x14ac:dyDescent="0.25">
      <c r="A45" s="94" t="s">
        <v>530</v>
      </c>
      <c r="B45" s="126" t="s">
        <v>369</v>
      </c>
      <c r="C45" s="4" t="s">
        <v>475</v>
      </c>
      <c r="D45" s="41" t="s">
        <v>30</v>
      </c>
      <c r="E45" s="124" t="s">
        <v>488</v>
      </c>
      <c r="F45" s="6">
        <v>45919</v>
      </c>
      <c r="G45" s="6" t="s">
        <v>143</v>
      </c>
      <c r="H45" s="14" t="s">
        <v>290</v>
      </c>
      <c r="I45" s="5" t="s">
        <v>370</v>
      </c>
      <c r="J45" s="5" t="s">
        <v>371</v>
      </c>
      <c r="K45" s="5" t="s">
        <v>372</v>
      </c>
      <c r="L45" s="5">
        <v>1</v>
      </c>
      <c r="M45" s="4" t="s">
        <v>28</v>
      </c>
      <c r="N45" s="5" t="s">
        <v>72</v>
      </c>
      <c r="O45" s="6"/>
      <c r="P45" s="4" t="s">
        <v>9</v>
      </c>
      <c r="Q45" s="4" t="s">
        <v>9</v>
      </c>
      <c r="R45" s="6"/>
      <c r="S45" s="110" t="s">
        <v>373</v>
      </c>
      <c r="T45" s="82">
        <v>45920</v>
      </c>
      <c r="U45" s="87"/>
      <c r="V45" s="57">
        <f>Tabla2[[#This Row],[FECHA ATRAQUE]]-Tabla2[[#This Row],[ETD]]+1</f>
        <v>55</v>
      </c>
      <c r="W45" s="4">
        <f>IF(Tabla2[[#This Row],[¿PRE ALERTARDO?]]="SI",0,IF(Tabla2[[#This Row],[Columna1]]&gt;=15,1,-1))</f>
        <v>0</v>
      </c>
      <c r="X45" s="2" t="s">
        <v>143</v>
      </c>
      <c r="Y45" s="2">
        <v>45880</v>
      </c>
      <c r="Z45" s="1">
        <f>IF(Tabla2[[#This Row],[¿FACTURADO?]]="SI",0,IF(Tabla2[[#This Row],[Columna1]]&gt;=4,1,-1))</f>
        <v>0</v>
      </c>
      <c r="AA45" s="5" t="s">
        <v>143</v>
      </c>
      <c r="AB45" s="6">
        <v>45917</v>
      </c>
      <c r="AC45" s="6">
        <v>45917</v>
      </c>
      <c r="AD45" s="15">
        <v>7</v>
      </c>
      <c r="AE45" s="6"/>
      <c r="AF45" s="1">
        <f ca="1">IF(Tabla2[[#This Row],[FACTURACION ALMACENAJE]]="SI",0,IF(Tabla2[[#This Row],[DIAS GENERADOS ALMACENAJE]]&lt;=0,1,-1))</f>
        <v>-1</v>
      </c>
      <c r="AG4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15</v>
      </c>
      <c r="AH45" s="6"/>
      <c r="AI45" s="15">
        <v>14</v>
      </c>
      <c r="AJ45" s="6"/>
      <c r="AK45" s="1">
        <f ca="1">IF(Tabla2[[#This Row],[FACTURACION DEMORAS]]="SI",0,IF(Tabla2[[#This Row],[DIAS GENERADOS DEMORA]]&lt;=0,1,-1))</f>
        <v>-1</v>
      </c>
      <c r="AL4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8</v>
      </c>
      <c r="AM45" s="6"/>
      <c r="AN45" s="89"/>
      <c r="AO45" s="5" t="s">
        <v>176</v>
      </c>
      <c r="AP45" s="6">
        <v>45866</v>
      </c>
      <c r="AQ45" s="4" t="s">
        <v>25</v>
      </c>
      <c r="AR45" s="89">
        <v>45902</v>
      </c>
      <c r="AS45" s="15">
        <f>+Tabla2[[#This Row],[FECHA ATRAQUE]]-Tabla2[[#This Row],[ARRIBO A TRANSBORDO]]+1</f>
        <v>19</v>
      </c>
      <c r="AT45" s="6">
        <v>45918</v>
      </c>
      <c r="AU45" s="6">
        <v>45906</v>
      </c>
      <c r="AV45" s="6"/>
      <c r="AW45" s="6" t="s">
        <v>145</v>
      </c>
      <c r="AX45" s="11">
        <f ca="1">Tabla2[[#This Row],[FECHA ATRAQUE]]-TODAY()</f>
        <v>-21</v>
      </c>
    </row>
    <row r="46" spans="1:51" ht="91.2" customHeight="1" x14ac:dyDescent="0.25">
      <c r="A46" s="94" t="s">
        <v>528</v>
      </c>
      <c r="B46" s="126" t="s">
        <v>377</v>
      </c>
      <c r="C46" s="4" t="s">
        <v>475</v>
      </c>
      <c r="D46" s="41" t="s">
        <v>30</v>
      </c>
      <c r="E46" s="124" t="s">
        <v>488</v>
      </c>
      <c r="F46" s="6">
        <v>45919</v>
      </c>
      <c r="G46" s="6" t="s">
        <v>143</v>
      </c>
      <c r="H46" s="14" t="s">
        <v>290</v>
      </c>
      <c r="I46" s="5" t="s">
        <v>379</v>
      </c>
      <c r="J46" s="5" t="s">
        <v>378</v>
      </c>
      <c r="K46" s="4" t="s">
        <v>380</v>
      </c>
      <c r="L46" s="5">
        <v>2</v>
      </c>
      <c r="M46" s="4" t="s">
        <v>28</v>
      </c>
      <c r="N46" s="5" t="s">
        <v>72</v>
      </c>
      <c r="O46" s="6"/>
      <c r="P46" s="4" t="s">
        <v>9</v>
      </c>
      <c r="Q46" s="4" t="s">
        <v>9</v>
      </c>
      <c r="R46" s="6"/>
      <c r="S46" s="110" t="s">
        <v>373</v>
      </c>
      <c r="T46" s="82">
        <v>45920</v>
      </c>
      <c r="U46" s="87"/>
      <c r="V46" s="57">
        <f>Tabla2[[#This Row],[FECHA ATRAQUE]]-Tabla2[[#This Row],[ETD]]+1</f>
        <v>40</v>
      </c>
      <c r="W46" s="4">
        <f>IF(Tabla2[[#This Row],[¿PRE ALERTARDO?]]="SI",0,IF(Tabla2[[#This Row],[Columna1]]&gt;=15,1,-1))</f>
        <v>0</v>
      </c>
      <c r="X46" s="2" t="s">
        <v>143</v>
      </c>
      <c r="Y46" s="2">
        <v>45905</v>
      </c>
      <c r="Z46" s="1">
        <f>IF(Tabla2[[#This Row],[¿FACTURADO?]]="SI",0,IF(Tabla2[[#This Row],[Columna1]]&gt;=4,1,-1))</f>
        <v>0</v>
      </c>
      <c r="AA46" s="5" t="s">
        <v>143</v>
      </c>
      <c r="AB46" s="6">
        <v>45917</v>
      </c>
      <c r="AC46" s="6">
        <v>45917</v>
      </c>
      <c r="AD46" s="15">
        <v>7</v>
      </c>
      <c r="AE46" s="6"/>
      <c r="AF46" s="1">
        <f ca="1">IF(Tabla2[[#This Row],[FACTURACION ALMACENAJE]]="SI",0,IF(Tabla2[[#This Row],[DIAS GENERADOS ALMACENAJE]]&lt;=0,1,-1))</f>
        <v>-1</v>
      </c>
      <c r="AG4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15</v>
      </c>
      <c r="AH46" s="6"/>
      <c r="AI46" s="15">
        <v>14</v>
      </c>
      <c r="AJ46" s="6"/>
      <c r="AK46" s="1">
        <f ca="1">IF(Tabla2[[#This Row],[FACTURACION DEMORAS]]="SI",0,IF(Tabla2[[#This Row],[DIAS GENERADOS DEMORA]]&lt;=0,1,-1))</f>
        <v>-1</v>
      </c>
      <c r="AL4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8</v>
      </c>
      <c r="AM46" s="6"/>
      <c r="AN46" s="89">
        <v>45885</v>
      </c>
      <c r="AO46" s="5" t="s">
        <v>463</v>
      </c>
      <c r="AP46" s="6">
        <v>45881</v>
      </c>
      <c r="AQ46" s="4" t="s">
        <v>25</v>
      </c>
      <c r="AR46" s="89">
        <v>45902</v>
      </c>
      <c r="AS46" s="15">
        <f>+Tabla2[[#This Row],[FECHA ATRAQUE]]-Tabla2[[#This Row],[ARRIBO A TRANSBORDO]]+1</f>
        <v>19</v>
      </c>
      <c r="AT46" s="6">
        <v>45918</v>
      </c>
      <c r="AU46" s="6">
        <v>45906</v>
      </c>
      <c r="AV46" s="6"/>
      <c r="AW46" s="6" t="s">
        <v>145</v>
      </c>
      <c r="AX46" s="11">
        <f ca="1">Tabla2[[#This Row],[FECHA ATRAQUE]]-TODAY()</f>
        <v>-21</v>
      </c>
    </row>
    <row r="47" spans="1:51" ht="67.8" customHeight="1" x14ac:dyDescent="0.25">
      <c r="A47" s="94" t="s">
        <v>529</v>
      </c>
      <c r="B47" s="126" t="s">
        <v>345</v>
      </c>
      <c r="C47" s="4" t="s">
        <v>475</v>
      </c>
      <c r="D47" s="125" t="s">
        <v>493</v>
      </c>
      <c r="E47" s="6" t="s">
        <v>30</v>
      </c>
      <c r="F47" s="121">
        <v>45905</v>
      </c>
      <c r="G47" s="6" t="s">
        <v>143</v>
      </c>
      <c r="H47" s="14" t="s">
        <v>290</v>
      </c>
      <c r="I47" s="5" t="s">
        <v>491</v>
      </c>
      <c r="J47" s="5" t="s">
        <v>346</v>
      </c>
      <c r="K47" s="4" t="s">
        <v>347</v>
      </c>
      <c r="L47" s="4">
        <v>1</v>
      </c>
      <c r="M47" s="4" t="s">
        <v>28</v>
      </c>
      <c r="N47" s="4" t="s">
        <v>69</v>
      </c>
      <c r="O47" s="17"/>
      <c r="P47" s="4" t="s">
        <v>9</v>
      </c>
      <c r="Q47" s="4" t="s">
        <v>9</v>
      </c>
      <c r="R47" s="121"/>
      <c r="S47" s="107" t="s">
        <v>348</v>
      </c>
      <c r="T47" s="82">
        <v>45923</v>
      </c>
      <c r="U47" s="17"/>
      <c r="V47" s="57">
        <f>Tabla2[[#This Row],[FECHA ATRAQUE]]-Tabla2[[#This Row],[ETD]]+1</f>
        <v>98</v>
      </c>
      <c r="W47" s="4">
        <f>IF(Tabla2[[#This Row],[¿PRE ALERTARDO?]]="SI",0,IF(Tabla2[[#This Row],[Columna1]]&gt;=15,1,-1))</f>
        <v>0</v>
      </c>
      <c r="X47" s="6" t="s">
        <v>143</v>
      </c>
      <c r="Y47" s="121">
        <v>45870</v>
      </c>
      <c r="Z47" s="1">
        <f>IF(Tabla2[[#This Row],[¿FACTURADO?]]="SI",0,IF(Tabla2[[#This Row],[Columna1]]&gt;=4,1,-1))</f>
        <v>0</v>
      </c>
      <c r="AA47" s="15" t="s">
        <v>143</v>
      </c>
      <c r="AB47" s="121">
        <v>45905</v>
      </c>
      <c r="AC47" s="121">
        <v>45905</v>
      </c>
      <c r="AD47" s="15">
        <v>7</v>
      </c>
      <c r="AE47" s="6"/>
      <c r="AF47" s="1">
        <f ca="1">IF(Tabla2[[#This Row],[FACTURACION ALMACENAJE]]="SI",0,IF(Tabla2[[#This Row],[DIAS GENERADOS ALMACENAJE]]&lt;=0,1,-1))</f>
        <v>1</v>
      </c>
      <c r="AG4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7" s="6"/>
      <c r="AI47" s="15">
        <v>14</v>
      </c>
      <c r="AJ47" s="6"/>
      <c r="AK47" s="1">
        <f ca="1">IF(Tabla2[[#This Row],[FACTURACION DEMORAS]]="SI",0,IF(Tabla2[[#This Row],[DIAS GENERADOS DEMORA]]&lt;=0,1,-1))</f>
        <v>1</v>
      </c>
      <c r="AL4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7" s="6"/>
      <c r="AN47" s="121">
        <v>45857</v>
      </c>
      <c r="AO47" s="4" t="s">
        <v>323</v>
      </c>
      <c r="AP47" s="6">
        <v>45826</v>
      </c>
      <c r="AQ47" s="6" t="s">
        <v>25</v>
      </c>
      <c r="AR47" s="6">
        <v>45868</v>
      </c>
      <c r="AS47" s="15">
        <f>+Tabla2[[#This Row],[FECHA ATRAQUE]]-Tabla2[[#This Row],[ARRIBO A TRANSBORDO]]+1</f>
        <v>56</v>
      </c>
      <c r="AT47" s="6"/>
      <c r="AU47" s="121"/>
      <c r="AV47" s="6"/>
      <c r="AW47" s="6" t="s">
        <v>145</v>
      </c>
      <c r="AX47" s="11">
        <f ca="1">Tabla2[[#This Row],[FECHA ATRAQUE]]-TODAY()</f>
        <v>-18</v>
      </c>
    </row>
    <row r="48" spans="1:51" ht="36" x14ac:dyDescent="0.25">
      <c r="A48" s="90" t="s">
        <v>502</v>
      </c>
      <c r="B48" s="123" t="s">
        <v>314</v>
      </c>
      <c r="C48" s="4" t="s">
        <v>11</v>
      </c>
      <c r="D48" s="41" t="s">
        <v>30</v>
      </c>
      <c r="E48" s="130" t="s">
        <v>503</v>
      </c>
      <c r="F48" s="6">
        <v>45929</v>
      </c>
      <c r="G48" s="6" t="s">
        <v>143</v>
      </c>
      <c r="H48" s="14" t="s">
        <v>290</v>
      </c>
      <c r="I48" s="5" t="s">
        <v>315</v>
      </c>
      <c r="J48" s="5" t="s">
        <v>316</v>
      </c>
      <c r="K48" s="4" t="s">
        <v>340</v>
      </c>
      <c r="L48" s="5">
        <v>1</v>
      </c>
      <c r="M48" s="5" t="s">
        <v>28</v>
      </c>
      <c r="N48" s="5" t="s">
        <v>72</v>
      </c>
      <c r="O48" s="6">
        <v>45926</v>
      </c>
      <c r="P48" s="4" t="s">
        <v>9</v>
      </c>
      <c r="Q48" s="4" t="s">
        <v>9</v>
      </c>
      <c r="R48" s="6">
        <v>45926</v>
      </c>
      <c r="S48" s="71" t="s">
        <v>381</v>
      </c>
      <c r="T48" s="82">
        <v>45928</v>
      </c>
      <c r="U48" s="87">
        <v>45930</v>
      </c>
      <c r="V48" s="57">
        <f>Tabla2[[#This Row],[FECHA ATRAQUE]]-Tabla2[[#This Row],[ETD]]+1</f>
        <v>44</v>
      </c>
      <c r="W48" s="4">
        <f>IF(Tabla2[[#This Row],[¿PRE ALERTARDO?]]="SI",0,IF(Tabla2[[#This Row],[Columna1]]&gt;=15,1,-1))</f>
        <v>0</v>
      </c>
      <c r="X48" s="2" t="s">
        <v>143</v>
      </c>
      <c r="Y48" s="2">
        <v>45903</v>
      </c>
      <c r="Z48" s="1">
        <f ca="1">IF(Tabla2[[#This Row],[¿FACTURADO?]]="SI",0,IF(Tabla2[[#This Row],[Columna1]]&gt;=4,1,-1))</f>
        <v>-1</v>
      </c>
      <c r="AA48" s="5"/>
      <c r="AB48" s="121"/>
      <c r="AC48" s="6"/>
      <c r="AD48" s="15">
        <v>7</v>
      </c>
      <c r="AE48" s="6"/>
      <c r="AF48" s="1">
        <f ca="1">IF(Tabla2[[#This Row],[FACTURACION ALMACENAJE]]="SI",0,IF(Tabla2[[#This Row],[DIAS GENERADOS ALMACENAJE]]&lt;=0,1,-1))</f>
        <v>-1</v>
      </c>
      <c r="AG4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7</v>
      </c>
      <c r="AH48" s="6"/>
      <c r="AI48" s="15">
        <v>14</v>
      </c>
      <c r="AJ48" s="6"/>
      <c r="AK48" s="1">
        <f ca="1">IF(Tabla2[[#This Row],[FACTURACION DEMORAS]]="SI",0,IF(Tabla2[[#This Row],[DIAS GENERADOS DEMORA]]&lt;=0,1,-1))</f>
        <v>1</v>
      </c>
      <c r="AL4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8" s="6"/>
      <c r="AN48" s="8">
        <v>45896</v>
      </c>
      <c r="AO48" s="4" t="s">
        <v>176</v>
      </c>
      <c r="AP48" s="6">
        <v>45885</v>
      </c>
      <c r="AQ48" s="4" t="s">
        <v>25</v>
      </c>
      <c r="AR48" s="8">
        <v>45909</v>
      </c>
      <c r="AS48" s="15">
        <f>+Tabla2[[#This Row],[FECHA ATRAQUE]]-Tabla2[[#This Row],[ARRIBO A TRANSBORDO]]+1</f>
        <v>20</v>
      </c>
      <c r="AT48" s="6"/>
      <c r="AU48" s="6"/>
      <c r="AV48" s="6"/>
      <c r="AW48" s="6" t="s">
        <v>145</v>
      </c>
      <c r="AX48" s="11">
        <f ca="1">Tabla2[[#This Row],[FECHA ATRAQUE]]-TODAY()</f>
        <v>-13</v>
      </c>
    </row>
    <row r="49" spans="1:50" ht="36" x14ac:dyDescent="0.25">
      <c r="A49" s="162" t="s">
        <v>583</v>
      </c>
      <c r="B49" s="140" t="s">
        <v>403</v>
      </c>
      <c r="C49" s="61" t="s">
        <v>21</v>
      </c>
      <c r="D49" s="67" t="s">
        <v>30</v>
      </c>
      <c r="E49" s="149" t="s">
        <v>503</v>
      </c>
      <c r="F49" s="6">
        <v>45929</v>
      </c>
      <c r="G49" s="6" t="s">
        <v>143</v>
      </c>
      <c r="H49" s="14" t="s">
        <v>290</v>
      </c>
      <c r="I49" s="60" t="s">
        <v>405</v>
      </c>
      <c r="J49" s="60" t="s">
        <v>404</v>
      </c>
      <c r="K49" s="60" t="s">
        <v>406</v>
      </c>
      <c r="L49" s="5">
        <v>1</v>
      </c>
      <c r="M49" s="60" t="s">
        <v>28</v>
      </c>
      <c r="N49" s="60" t="s">
        <v>72</v>
      </c>
      <c r="O49" s="6">
        <v>45926</v>
      </c>
      <c r="P49" s="4" t="s">
        <v>9</v>
      </c>
      <c r="Q49" s="4" t="s">
        <v>9</v>
      </c>
      <c r="R49" s="59">
        <v>45926</v>
      </c>
      <c r="S49" s="71" t="s">
        <v>381</v>
      </c>
      <c r="T49" s="82">
        <v>45928</v>
      </c>
      <c r="U49" s="87">
        <v>45898</v>
      </c>
      <c r="V49" s="57">
        <f>Tabla2[[#This Row],[FECHA ATRAQUE]]-Tabla2[[#This Row],[ETD]]+1</f>
        <v>41</v>
      </c>
      <c r="W49" s="4">
        <f>IF(Tabla2[[#This Row],[¿PRE ALERTARDO?]]="SI",0,IF(Tabla2[[#This Row],[Columna1]]&gt;=15,1,-1))</f>
        <v>0</v>
      </c>
      <c r="X49" s="2" t="s">
        <v>143</v>
      </c>
      <c r="Y49" s="62">
        <v>45908</v>
      </c>
      <c r="Z49" s="1">
        <f>IF(Tabla2[[#This Row],[¿FACTURADO?]]="SI",0,IF(Tabla2[[#This Row],[Columna1]]&gt;=4,1,-1))</f>
        <v>0</v>
      </c>
      <c r="AA49" s="60" t="s">
        <v>143</v>
      </c>
      <c r="AB49" s="121">
        <v>45929</v>
      </c>
      <c r="AC49" s="150">
        <v>45929</v>
      </c>
      <c r="AD49" s="15">
        <v>7</v>
      </c>
      <c r="AE49" s="59"/>
      <c r="AF49" s="1">
        <f ca="1">IF(Tabla2[[#This Row],[FACTURACION ALMACENAJE]]="SI",0,IF(Tabla2[[#This Row],[DIAS GENERADOS ALMACENAJE]]&lt;=0,1,-1))</f>
        <v>-1</v>
      </c>
      <c r="AG49"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7</v>
      </c>
      <c r="AH49" s="59"/>
      <c r="AI49" s="15">
        <v>14</v>
      </c>
      <c r="AJ49" s="59"/>
      <c r="AK49" s="1">
        <f ca="1">IF(Tabla2[[#This Row],[FACTURACION DEMORAS]]="SI",0,IF(Tabla2[[#This Row],[DIAS GENERADOS DEMORA]]&lt;=0,1,-1))</f>
        <v>1</v>
      </c>
      <c r="AL49"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9" s="59"/>
      <c r="AN49" s="65">
        <v>45906</v>
      </c>
      <c r="AO49" s="63" t="s">
        <v>176</v>
      </c>
      <c r="AP49" s="59">
        <v>45888</v>
      </c>
      <c r="AQ49" s="64" t="s">
        <v>25</v>
      </c>
      <c r="AR49" s="65">
        <v>45909</v>
      </c>
      <c r="AS49" s="15">
        <f>+Tabla2[[#This Row],[FECHA ATRAQUE]]-Tabla2[[#This Row],[ARRIBO A TRANSBORDO]]+1</f>
        <v>20</v>
      </c>
      <c r="AT49" s="59"/>
      <c r="AU49" s="59"/>
      <c r="AV49" s="59"/>
      <c r="AW49" s="6" t="s">
        <v>145</v>
      </c>
      <c r="AX49" s="11">
        <f ca="1">Tabla2[[#This Row],[FECHA ATRAQUE]]-TODAY()</f>
        <v>-13</v>
      </c>
    </row>
    <row r="50" spans="1:50" ht="24" x14ac:dyDescent="0.25">
      <c r="A50" s="90" t="s">
        <v>502</v>
      </c>
      <c r="B50" s="123" t="s">
        <v>500</v>
      </c>
      <c r="C50" s="4" t="s">
        <v>11</v>
      </c>
      <c r="D50" s="41" t="s">
        <v>30</v>
      </c>
      <c r="E50" s="130" t="s">
        <v>503</v>
      </c>
      <c r="F50" s="6">
        <v>45929</v>
      </c>
      <c r="G50" s="6" t="s">
        <v>143</v>
      </c>
      <c r="H50" s="14" t="s">
        <v>290</v>
      </c>
      <c r="I50" s="5" t="s">
        <v>498</v>
      </c>
      <c r="J50" s="5" t="s">
        <v>497</v>
      </c>
      <c r="K50" s="5" t="s">
        <v>499</v>
      </c>
      <c r="L50" s="5">
        <v>1</v>
      </c>
      <c r="M50" s="5" t="s">
        <v>28</v>
      </c>
      <c r="N50" s="5" t="s">
        <v>72</v>
      </c>
      <c r="O50" s="6">
        <v>45926</v>
      </c>
      <c r="P50" s="4" t="s">
        <v>9</v>
      </c>
      <c r="Q50" s="4" t="s">
        <v>9</v>
      </c>
      <c r="R50" s="59">
        <v>45926</v>
      </c>
      <c r="S50" s="71" t="s">
        <v>381</v>
      </c>
      <c r="T50" s="82">
        <v>45928</v>
      </c>
      <c r="U50" s="87">
        <v>45930</v>
      </c>
      <c r="V50" s="57">
        <f>Tabla2[[#This Row],[FECHA ATRAQUE]]-Tabla2[[#This Row],[ETD]]+1</f>
        <v>45929</v>
      </c>
      <c r="W50" s="4">
        <f>IF(Tabla2[[#This Row],[¿PRE ALERTARDO?]]="SI",0,IF(Tabla2[[#This Row],[Columna1]]&gt;=15,1,-1))</f>
        <v>0</v>
      </c>
      <c r="X50" s="2" t="s">
        <v>143</v>
      </c>
      <c r="Y50" s="2">
        <v>45929</v>
      </c>
      <c r="Z50" s="1">
        <f>IF(Tabla2[[#This Row],[¿FACTURADO?]]="SI",0,IF(Tabla2[[#This Row],[Columna1]]&gt;=4,1,-1))</f>
        <v>0</v>
      </c>
      <c r="AA50" s="5" t="s">
        <v>143</v>
      </c>
      <c r="AB50" s="121">
        <v>45929</v>
      </c>
      <c r="AC50" s="121">
        <v>45929</v>
      </c>
      <c r="AD50" s="6"/>
      <c r="AE50" s="6"/>
      <c r="AF50" s="4">
        <f ca="1">IF(Tabla2[[#This Row],[FACTURACION ALMACENAJE]]="SI",0,IF(Tabla2[[#This Row],[DIAS GENERADOS ALMACENAJE]]&lt;=0,1,-1))</f>
        <v>-1</v>
      </c>
      <c r="AG5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14</v>
      </c>
      <c r="AH50" s="6"/>
      <c r="AI50" s="6"/>
      <c r="AJ50" s="6"/>
      <c r="AK50" s="4">
        <f ca="1">IF(Tabla2[[#This Row],[FACTURACION DEMORAS]]="SI",0,IF(Tabla2[[#This Row],[DIAS GENERADOS DEMORA]]&lt;=0,1,-1))</f>
        <v>-1</v>
      </c>
      <c r="AL5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14</v>
      </c>
      <c r="AM50" s="6"/>
      <c r="AN50" s="8"/>
      <c r="AO50" s="7"/>
      <c r="AP50" s="6"/>
      <c r="AQ50" s="9"/>
      <c r="AR50" s="8"/>
      <c r="AS50" s="127">
        <f>+Tabla2[[#This Row],[FECHA ATRAQUE]]-Tabla2[[#This Row],[ARRIBO A TRANSBORDO]]+1</f>
        <v>45929</v>
      </c>
      <c r="AT50" s="6"/>
      <c r="AU50" s="6"/>
      <c r="AV50" s="6"/>
      <c r="AW50" s="6"/>
      <c r="AX50" s="11">
        <f ca="1">Tabla2[[#This Row],[FECHA ATRAQUE]]-TODAY()</f>
        <v>-13</v>
      </c>
    </row>
    <row r="51" spans="1:50" ht="204" x14ac:dyDescent="0.25">
      <c r="A51" s="94" t="s">
        <v>505</v>
      </c>
      <c r="B51" s="123" t="s">
        <v>349</v>
      </c>
      <c r="C51" s="4" t="s">
        <v>11</v>
      </c>
      <c r="D51" s="129" t="s">
        <v>504</v>
      </c>
      <c r="E51" s="130" t="s">
        <v>506</v>
      </c>
      <c r="F51" s="6">
        <v>45929</v>
      </c>
      <c r="G51" s="6" t="s">
        <v>143</v>
      </c>
      <c r="H51" s="14" t="s">
        <v>290</v>
      </c>
      <c r="I51" s="5" t="s">
        <v>350</v>
      </c>
      <c r="J51" s="5" t="s">
        <v>351</v>
      </c>
      <c r="K51" s="5" t="s">
        <v>352</v>
      </c>
      <c r="L51" s="5">
        <v>1</v>
      </c>
      <c r="M51" s="4" t="s">
        <v>28</v>
      </c>
      <c r="N51" s="5" t="s">
        <v>32</v>
      </c>
      <c r="O51" s="6">
        <v>45926</v>
      </c>
      <c r="P51" s="4" t="s">
        <v>9</v>
      </c>
      <c r="Q51" s="4" t="s">
        <v>9</v>
      </c>
      <c r="R51" s="59">
        <v>45926</v>
      </c>
      <c r="S51" s="107" t="s">
        <v>408</v>
      </c>
      <c r="T51" s="82">
        <v>45928</v>
      </c>
      <c r="U51" s="87">
        <v>45930</v>
      </c>
      <c r="V51" s="57">
        <f>Tabla2[[#This Row],[FECHA ATRAQUE]]-Tabla2[[#This Row],[ETD]]+1</f>
        <v>76</v>
      </c>
      <c r="W51" s="4">
        <f>IF(Tabla2[[#This Row],[¿PRE ALERTARDO?]]="SI",0,IF(Tabla2[[#This Row],[Columna1]]&gt;=15,1,-1))</f>
        <v>0</v>
      </c>
      <c r="X51" s="2" t="s">
        <v>143</v>
      </c>
      <c r="Y51" s="2">
        <v>45880</v>
      </c>
      <c r="Z51" s="1">
        <f ca="1">IF(Tabla2[[#This Row],[¿FACTURADO?]]="SI",0,IF(Tabla2[[#This Row],[Columna1]]&gt;=4,1,-1))</f>
        <v>-1</v>
      </c>
      <c r="AA51" s="5"/>
      <c r="AB51" s="121"/>
      <c r="AC51" s="6"/>
      <c r="AD51" s="15">
        <v>7</v>
      </c>
      <c r="AE51" s="6"/>
      <c r="AF51" s="1">
        <f ca="1">IF(Tabla2[[#This Row],[FACTURACION ALMACENAJE]]="SI",0,IF(Tabla2[[#This Row],[DIAS GENERADOS ALMACENAJE]]&lt;=0,1,-1))</f>
        <v>-1</v>
      </c>
      <c r="AG5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5</v>
      </c>
      <c r="AH51" s="6"/>
      <c r="AI51" s="15">
        <v>14</v>
      </c>
      <c r="AJ51" s="6"/>
      <c r="AK51" s="1">
        <f ca="1">IF(Tabla2[[#This Row],[FACTURACION DEMORAS]]="SI",0,IF(Tabla2[[#This Row],[DIAS GENERADOS DEMORA]]&lt;=0,1,-1))</f>
        <v>1</v>
      </c>
      <c r="AL5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1" s="6"/>
      <c r="AN51" s="8">
        <v>45863</v>
      </c>
      <c r="AO51" s="7" t="s">
        <v>323</v>
      </c>
      <c r="AP51" s="6">
        <v>45853</v>
      </c>
      <c r="AQ51" s="9" t="s">
        <v>25</v>
      </c>
      <c r="AR51" s="8">
        <v>45906</v>
      </c>
      <c r="AS51" s="15">
        <f>+Tabla2[[#This Row],[FECHA ATRAQUE]]-Tabla2[[#This Row],[ARRIBO A TRANSBORDO]]+1</f>
        <v>23</v>
      </c>
      <c r="AT51" s="6"/>
      <c r="AU51" s="6">
        <v>45909</v>
      </c>
      <c r="AV51" s="6"/>
      <c r="AW51" s="6" t="s">
        <v>145</v>
      </c>
      <c r="AX51" s="11">
        <f ca="1">Tabla2[[#This Row],[FECHA ATRAQUE]]-TODAY()</f>
        <v>-13</v>
      </c>
    </row>
    <row r="52" spans="1:50" ht="36" x14ac:dyDescent="0.25">
      <c r="A52" s="132" t="s">
        <v>580</v>
      </c>
      <c r="B52" s="140" t="s">
        <v>328</v>
      </c>
      <c r="C52" s="61" t="s">
        <v>21</v>
      </c>
      <c r="D52" s="129">
        <v>45894</v>
      </c>
      <c r="E52" s="59" t="s">
        <v>30</v>
      </c>
      <c r="F52" s="59">
        <v>45929</v>
      </c>
      <c r="G52" s="6" t="s">
        <v>143</v>
      </c>
      <c r="H52" s="14" t="s">
        <v>290</v>
      </c>
      <c r="I52" s="60" t="s">
        <v>329</v>
      </c>
      <c r="J52" s="60" t="s">
        <v>330</v>
      </c>
      <c r="K52" s="60" t="s">
        <v>331</v>
      </c>
      <c r="L52" s="5">
        <v>1</v>
      </c>
      <c r="M52" s="60" t="s">
        <v>28</v>
      </c>
      <c r="N52" s="60" t="s">
        <v>32</v>
      </c>
      <c r="O52" s="6">
        <v>45926</v>
      </c>
      <c r="P52" s="4" t="s">
        <v>9</v>
      </c>
      <c r="Q52" s="4" t="s">
        <v>9</v>
      </c>
      <c r="R52" s="59">
        <v>45926</v>
      </c>
      <c r="S52" s="107" t="s">
        <v>408</v>
      </c>
      <c r="T52" s="82">
        <v>45928</v>
      </c>
      <c r="U52" s="87">
        <v>45929</v>
      </c>
      <c r="V52" s="57">
        <f>Tabla2[[#This Row],[FECHA ATRAQUE]]-Tabla2[[#This Row],[ETD]]+1</f>
        <v>37</v>
      </c>
      <c r="W52" s="4">
        <f>IF(Tabla2[[#This Row],[¿PRE ALERTARDO?]]="SI",0,IF(Tabla2[[#This Row],[Columna1]]&gt;=15,1,-1))</f>
        <v>0</v>
      </c>
      <c r="X52" s="62" t="s">
        <v>143</v>
      </c>
      <c r="Y52" s="59">
        <v>45902</v>
      </c>
      <c r="Z52" s="1">
        <f ca="1">IF(Tabla2[[#This Row],[¿FACTURADO?]]="SI",0,IF(Tabla2[[#This Row],[Columna1]]&gt;=4,1,-1))</f>
        <v>-1</v>
      </c>
      <c r="AA52" s="60"/>
      <c r="AB52" s="121"/>
      <c r="AC52" s="59"/>
      <c r="AD52" s="15">
        <v>7</v>
      </c>
      <c r="AE52" s="59"/>
      <c r="AF52" s="1">
        <f ca="1">IF(Tabla2[[#This Row],[FACTURACION ALMACENAJE]]="SI",0,IF(Tabla2[[#This Row],[DIAS GENERADOS ALMACENAJE]]&lt;=0,1,-1))</f>
        <v>-1</v>
      </c>
      <c r="AG52"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6</v>
      </c>
      <c r="AH52" s="59"/>
      <c r="AI52" s="15">
        <v>14</v>
      </c>
      <c r="AJ52" s="59"/>
      <c r="AK52" s="1">
        <f ca="1">IF(Tabla2[[#This Row],[FACTURACION DEMORAS]]="SI",0,IF(Tabla2[[#This Row],[DIAS GENERADOS DEMORA]]&lt;=0,1,-1))</f>
        <v>1</v>
      </c>
      <c r="AL52"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2" s="59"/>
      <c r="AN52" s="65">
        <v>45894</v>
      </c>
      <c r="AO52" s="63" t="s">
        <v>332</v>
      </c>
      <c r="AP52" s="59">
        <v>45892</v>
      </c>
      <c r="AQ52" s="64" t="s">
        <v>25</v>
      </c>
      <c r="AR52" s="65">
        <v>45910</v>
      </c>
      <c r="AS52" s="15">
        <f>+Tabla2[[#This Row],[FECHA ATRAQUE]]-Tabla2[[#This Row],[ARRIBO A TRANSBORDO]]+1</f>
        <v>19</v>
      </c>
      <c r="AT52" s="59"/>
      <c r="AU52" s="59">
        <v>45909</v>
      </c>
      <c r="AV52" s="59"/>
      <c r="AW52" s="6" t="s">
        <v>145</v>
      </c>
      <c r="AX52" s="12">
        <f ca="1">Tabla2[[#This Row],[FECHA ATRAQUE]]-TODAY()</f>
        <v>-13</v>
      </c>
    </row>
    <row r="53" spans="1:50" ht="132" x14ac:dyDescent="0.25">
      <c r="A53" s="128" t="s">
        <v>508</v>
      </c>
      <c r="B53" s="148" t="s">
        <v>333</v>
      </c>
      <c r="C53" s="61" t="s">
        <v>6</v>
      </c>
      <c r="D53" s="129" t="s">
        <v>507</v>
      </c>
      <c r="E53" s="130" t="s">
        <v>509</v>
      </c>
      <c r="F53" s="59">
        <v>45929</v>
      </c>
      <c r="G53" s="6" t="s">
        <v>143</v>
      </c>
      <c r="H53" s="14" t="s">
        <v>290</v>
      </c>
      <c r="I53" s="60" t="s">
        <v>334</v>
      </c>
      <c r="J53" s="60" t="s">
        <v>335</v>
      </c>
      <c r="K53" s="60" t="s">
        <v>336</v>
      </c>
      <c r="L53" s="5">
        <v>1</v>
      </c>
      <c r="M53" s="61" t="s">
        <v>28</v>
      </c>
      <c r="N53" s="61" t="s">
        <v>32</v>
      </c>
      <c r="O53" s="6">
        <v>45926</v>
      </c>
      <c r="P53" s="4" t="s">
        <v>9</v>
      </c>
      <c r="Q53" s="4" t="s">
        <v>9</v>
      </c>
      <c r="R53" s="59">
        <v>45926</v>
      </c>
      <c r="S53" s="107" t="s">
        <v>408</v>
      </c>
      <c r="T53" s="82">
        <v>45928</v>
      </c>
      <c r="U53" s="87">
        <v>45930</v>
      </c>
      <c r="V53" s="57">
        <f>Tabla2[[#This Row],[FECHA ATRAQUE]]-Tabla2[[#This Row],[ETD]]+1</f>
        <v>54</v>
      </c>
      <c r="W53" s="4">
        <f>IF(Tabla2[[#This Row],[¿PRE ALERTARDO?]]="SI",0,IF(Tabla2[[#This Row],[Columna1]]&gt;=15,1,-1))</f>
        <v>0</v>
      </c>
      <c r="X53" s="62" t="s">
        <v>143</v>
      </c>
      <c r="Y53" s="62">
        <v>45903</v>
      </c>
      <c r="Z53" s="1">
        <f ca="1">IF(Tabla2[[#This Row],[¿FACTURADO?]]="SI",0,IF(Tabla2[[#This Row],[Columna1]]&gt;=4,1,-1))</f>
        <v>-1</v>
      </c>
      <c r="AA53" s="60"/>
      <c r="AB53" s="121"/>
      <c r="AC53" s="59"/>
      <c r="AD53" s="15">
        <v>7</v>
      </c>
      <c r="AE53" s="59"/>
      <c r="AF53" s="1">
        <f ca="1">IF(Tabla2[[#This Row],[FACTURACION ALMACENAJE]]="SI",0,IF(Tabla2[[#This Row],[DIAS GENERADOS ALMACENAJE]]&lt;=0,1,-1))</f>
        <v>-1</v>
      </c>
      <c r="AG53"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5</v>
      </c>
      <c r="AH53" s="59"/>
      <c r="AI53" s="15">
        <v>14</v>
      </c>
      <c r="AJ53" s="59"/>
      <c r="AK53" s="1">
        <f ca="1">IF(Tabla2[[#This Row],[FACTURACION DEMORAS]]="SI",0,IF(Tabla2[[#This Row],[DIAS GENERADOS DEMORA]]&lt;=0,1,-1))</f>
        <v>1</v>
      </c>
      <c r="AL53"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3" s="59"/>
      <c r="AN53" s="65">
        <v>45892</v>
      </c>
      <c r="AO53" s="63" t="s">
        <v>201</v>
      </c>
      <c r="AP53" s="59">
        <v>45875</v>
      </c>
      <c r="AQ53" s="64" t="s">
        <v>25</v>
      </c>
      <c r="AR53" s="65">
        <v>45910</v>
      </c>
      <c r="AS53" s="15">
        <f>+Tabla2[[#This Row],[FECHA ATRAQUE]]-Tabla2[[#This Row],[ARRIBO A TRANSBORDO]]+1</f>
        <v>19</v>
      </c>
      <c r="AT53" s="59"/>
      <c r="AU53" s="59">
        <v>45909</v>
      </c>
      <c r="AV53" s="59"/>
      <c r="AW53" s="6" t="s">
        <v>145</v>
      </c>
      <c r="AX53" s="12">
        <f ca="1">Tabla2[[#This Row],[FECHA ATRAQUE]]-TODAY()</f>
        <v>-13</v>
      </c>
    </row>
    <row r="54" spans="1:50" ht="36" x14ac:dyDescent="0.25">
      <c r="A54" s="132" t="s">
        <v>501</v>
      </c>
      <c r="B54" s="148" t="s">
        <v>409</v>
      </c>
      <c r="C54" s="61" t="s">
        <v>6</v>
      </c>
      <c r="D54" s="67" t="s">
        <v>30</v>
      </c>
      <c r="E54" s="149" t="s">
        <v>503</v>
      </c>
      <c r="F54" s="59">
        <v>45929</v>
      </c>
      <c r="G54" s="6" t="s">
        <v>143</v>
      </c>
      <c r="H54" s="14" t="s">
        <v>290</v>
      </c>
      <c r="I54" s="60" t="s">
        <v>412</v>
      </c>
      <c r="J54" s="60" t="s">
        <v>410</v>
      </c>
      <c r="K54" s="60" t="s">
        <v>411</v>
      </c>
      <c r="L54" s="5">
        <v>1</v>
      </c>
      <c r="M54" s="60" t="s">
        <v>28</v>
      </c>
      <c r="N54" s="61" t="s">
        <v>32</v>
      </c>
      <c r="O54" s="6">
        <v>45926</v>
      </c>
      <c r="P54" s="4" t="s">
        <v>9</v>
      </c>
      <c r="Q54" s="4" t="s">
        <v>9</v>
      </c>
      <c r="R54" s="59">
        <v>45926</v>
      </c>
      <c r="S54" s="107" t="s">
        <v>408</v>
      </c>
      <c r="T54" s="82">
        <v>45928</v>
      </c>
      <c r="U54" s="87">
        <v>45930</v>
      </c>
      <c r="V54" s="57">
        <f>Tabla2[[#This Row],[FECHA ATRAQUE]]-Tabla2[[#This Row],[ETD]]+1</f>
        <v>40</v>
      </c>
      <c r="W54" s="4">
        <f>IF(Tabla2[[#This Row],[¿PRE ALERTARDO?]]="SI",0,IF(Tabla2[[#This Row],[Columna1]]&gt;=15,1,-1))</f>
        <v>0</v>
      </c>
      <c r="X54" s="62" t="s">
        <v>143</v>
      </c>
      <c r="Y54" s="62">
        <v>45908</v>
      </c>
      <c r="Z54" s="1">
        <f ca="1">IF(Tabla2[[#This Row],[¿FACTURADO?]]="SI",0,IF(Tabla2[[#This Row],[Columna1]]&gt;=4,1,-1))</f>
        <v>-1</v>
      </c>
      <c r="AA54" s="60"/>
      <c r="AB54" s="121"/>
      <c r="AC54" s="59"/>
      <c r="AD54" s="15">
        <v>7</v>
      </c>
      <c r="AE54" s="59"/>
      <c r="AF54" s="1">
        <f ca="1">IF(Tabla2[[#This Row],[FACTURACION ALMACENAJE]]="SI",0,IF(Tabla2[[#This Row],[DIAS GENERADOS ALMACENAJE]]&lt;=0,1,-1))</f>
        <v>-1</v>
      </c>
      <c r="AG54"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5</v>
      </c>
      <c r="AH54" s="59"/>
      <c r="AI54" s="15">
        <v>14</v>
      </c>
      <c r="AJ54" s="59"/>
      <c r="AK54" s="1">
        <f ca="1">IF(Tabla2[[#This Row],[FACTURACION DEMORAS]]="SI",0,IF(Tabla2[[#This Row],[DIAS GENERADOS DEMORA]]&lt;=0,1,-1))</f>
        <v>1</v>
      </c>
      <c r="AL54"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4" s="59"/>
      <c r="AN54" s="65">
        <v>45906</v>
      </c>
      <c r="AO54" s="63" t="s">
        <v>413</v>
      </c>
      <c r="AP54" s="59">
        <v>45889</v>
      </c>
      <c r="AQ54" s="64" t="s">
        <v>25</v>
      </c>
      <c r="AR54" s="65">
        <v>45912</v>
      </c>
      <c r="AS54" s="15">
        <f>+Tabla2[[#This Row],[FECHA ATRAQUE]]-Tabla2[[#This Row],[ARRIBO A TRANSBORDO]]+1</f>
        <v>17</v>
      </c>
      <c r="AT54" s="59"/>
      <c r="AU54" s="59">
        <v>45909</v>
      </c>
      <c r="AV54" s="59"/>
      <c r="AW54" s="6" t="s">
        <v>145</v>
      </c>
      <c r="AX54" s="12">
        <f ca="1">Tabla2[[#This Row],[FECHA ATRAQUE]]-TODAY()</f>
        <v>-13</v>
      </c>
    </row>
    <row r="55" spans="1:50" ht="24" x14ac:dyDescent="0.25">
      <c r="A55" s="131" t="s">
        <v>501</v>
      </c>
      <c r="B55" s="147" t="s">
        <v>301</v>
      </c>
      <c r="C55" s="4" t="s">
        <v>6</v>
      </c>
      <c r="D55" s="41" t="s">
        <v>30</v>
      </c>
      <c r="E55" s="130">
        <v>45939</v>
      </c>
      <c r="F55" s="59">
        <v>45929</v>
      </c>
      <c r="G55" s="6" t="s">
        <v>143</v>
      </c>
      <c r="H55" s="14" t="s">
        <v>290</v>
      </c>
      <c r="I55" s="5" t="s">
        <v>302</v>
      </c>
      <c r="J55" s="5" t="s">
        <v>303</v>
      </c>
      <c r="K55" s="5" t="s">
        <v>304</v>
      </c>
      <c r="L55" s="5">
        <v>1</v>
      </c>
      <c r="M55" s="5" t="s">
        <v>28</v>
      </c>
      <c r="N55" s="5" t="s">
        <v>281</v>
      </c>
      <c r="O55" s="6">
        <v>45936</v>
      </c>
      <c r="P55" s="4" t="s">
        <v>9</v>
      </c>
      <c r="Q55" s="4" t="s">
        <v>9</v>
      </c>
      <c r="R55" s="6"/>
      <c r="S55" s="71" t="s">
        <v>341</v>
      </c>
      <c r="T55" s="165">
        <v>45941</v>
      </c>
      <c r="U55" s="87"/>
      <c r="V55" s="57">
        <f>Tabla2[[#This Row],[FECHA ATRAQUE]]-Tabla2[[#This Row],[ETD]]+1</f>
        <v>63</v>
      </c>
      <c r="W55" s="4">
        <f>IF(Tabla2[[#This Row],[¿PRE ALERTARDO?]]="SI",0,IF(Tabla2[[#This Row],[Columna1]]&gt;=15,1,-1))</f>
        <v>0</v>
      </c>
      <c r="X55" s="2" t="s">
        <v>143</v>
      </c>
      <c r="Y55" s="6">
        <v>45902</v>
      </c>
      <c r="Z55" s="1">
        <f ca="1">IF(Tabla2[[#This Row],[¿FACTURADO?]]="SI",0,IF(Tabla2[[#This Row],[Columna1]]&gt;=4,1,-1))</f>
        <v>-1</v>
      </c>
      <c r="AA55" s="5"/>
      <c r="AB55" s="121"/>
      <c r="AC55" s="6"/>
      <c r="AD55" s="15">
        <v>7</v>
      </c>
      <c r="AE55" s="6"/>
      <c r="AF55" s="1">
        <f ca="1">IF(Tabla2[[#This Row],[FACTURACION ALMACENAJE]]="SI",0,IF(Tabla2[[#This Row],[DIAS GENERADOS ALMACENAJE]]&lt;=0,1,-1))</f>
        <v>1</v>
      </c>
      <c r="AG5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5" s="6"/>
      <c r="AI55" s="15">
        <v>14</v>
      </c>
      <c r="AJ55" s="6"/>
      <c r="AK55" s="1">
        <f ca="1">IF(Tabla2[[#This Row],[FACTURACION DEMORAS]]="SI",0,IF(Tabla2[[#This Row],[DIAS GENERADOS DEMORA]]&lt;=0,1,-1))</f>
        <v>1</v>
      </c>
      <c r="AL5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5" s="6"/>
      <c r="AN55" s="8">
        <v>45896</v>
      </c>
      <c r="AO55" s="7" t="s">
        <v>176</v>
      </c>
      <c r="AP55" s="6">
        <v>45879</v>
      </c>
      <c r="AQ55" s="9"/>
      <c r="AR55" s="8"/>
      <c r="AS55" s="15">
        <f>+Tabla2[[#This Row],[FECHA ATRAQUE]]-Tabla2[[#This Row],[ARRIBO A TRANSBORDO]]+1</f>
        <v>45942</v>
      </c>
      <c r="AT55" s="6"/>
      <c r="AU55" s="6">
        <v>45937</v>
      </c>
      <c r="AV55" s="6"/>
      <c r="AW55" s="6" t="s">
        <v>145</v>
      </c>
      <c r="AX55" s="11">
        <f ca="1">Tabla2[[#This Row],[FECHA ATRAQUE]]-TODAY()</f>
        <v>0</v>
      </c>
    </row>
    <row r="56" spans="1:50" ht="84" x14ac:dyDescent="0.25">
      <c r="A56" s="131" t="s">
        <v>510</v>
      </c>
      <c r="B56" s="147" t="s">
        <v>305</v>
      </c>
      <c r="C56" s="4" t="s">
        <v>6</v>
      </c>
      <c r="D56" s="125" t="s">
        <v>495</v>
      </c>
      <c r="E56" s="6" t="s">
        <v>30</v>
      </c>
      <c r="F56" s="6"/>
      <c r="G56" s="6" t="s">
        <v>143</v>
      </c>
      <c r="H56" s="14" t="s">
        <v>290</v>
      </c>
      <c r="I56" s="5" t="s">
        <v>306</v>
      </c>
      <c r="J56" s="5" t="s">
        <v>307</v>
      </c>
      <c r="K56" s="4" t="s">
        <v>308</v>
      </c>
      <c r="L56" s="5">
        <v>1</v>
      </c>
      <c r="M56" s="4" t="s">
        <v>28</v>
      </c>
      <c r="N56" s="5" t="s">
        <v>281</v>
      </c>
      <c r="O56" s="6">
        <v>45936</v>
      </c>
      <c r="P56" s="4" t="s">
        <v>9</v>
      </c>
      <c r="Q56" s="4" t="s">
        <v>9</v>
      </c>
      <c r="R56" s="6"/>
      <c r="S56" s="71" t="s">
        <v>341</v>
      </c>
      <c r="T56" s="165">
        <v>45941</v>
      </c>
      <c r="U56" s="87"/>
      <c r="V56" s="57">
        <f>Tabla2[[#This Row],[FECHA ATRAQUE]]-Tabla2[[#This Row],[ETD]]+1</f>
        <v>63</v>
      </c>
      <c r="W56" s="4">
        <f>IF(Tabla2[[#This Row],[¿PRE ALERTARDO?]]="SI",0,IF(Tabla2[[#This Row],[Columna1]]&gt;=15,1,-1))</f>
        <v>0</v>
      </c>
      <c r="X56" s="2" t="s">
        <v>143</v>
      </c>
      <c r="Y56" s="2">
        <v>45902</v>
      </c>
      <c r="Z56" s="1">
        <f ca="1">IF(Tabla2[[#This Row],[¿FACTURADO?]]="SI",0,IF(Tabla2[[#This Row],[Columna1]]&gt;=4,1,-1))</f>
        <v>-1</v>
      </c>
      <c r="AA56" s="5"/>
      <c r="AB56" s="121"/>
      <c r="AC56" s="6"/>
      <c r="AD56" s="15">
        <v>7</v>
      </c>
      <c r="AE56" s="6"/>
      <c r="AF56" s="1">
        <f ca="1">IF(Tabla2[[#This Row],[FACTURACION ALMACENAJE]]="SI",0,IF(Tabla2[[#This Row],[DIAS GENERADOS ALMACENAJE]]&lt;=0,1,-1))</f>
        <v>1</v>
      </c>
      <c r="AG5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6" s="6"/>
      <c r="AI56" s="15">
        <v>14</v>
      </c>
      <c r="AJ56" s="6"/>
      <c r="AK56" s="1">
        <f ca="1">IF(Tabla2[[#This Row],[FACTURACION DEMORAS]]="SI",0,IF(Tabla2[[#This Row],[DIAS GENERADOS DEMORA]]&lt;=0,1,-1))</f>
        <v>1</v>
      </c>
      <c r="AL5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6" s="6"/>
      <c r="AN56" s="8">
        <v>45896</v>
      </c>
      <c r="AO56" s="7" t="s">
        <v>176</v>
      </c>
      <c r="AP56" s="6">
        <v>45879</v>
      </c>
      <c r="AQ56" s="9"/>
      <c r="AR56" s="8"/>
      <c r="AS56" s="15">
        <f>+Tabla2[[#This Row],[FECHA ATRAQUE]]-Tabla2[[#This Row],[ARRIBO A TRANSBORDO]]+1</f>
        <v>45942</v>
      </c>
      <c r="AT56" s="6"/>
      <c r="AU56" s="6">
        <v>45937</v>
      </c>
      <c r="AV56" s="6"/>
      <c r="AW56" s="6" t="s">
        <v>145</v>
      </c>
      <c r="AX56" s="11">
        <f ca="1">Tabla2[[#This Row],[FECHA ATRAQUE]]-TODAY()</f>
        <v>0</v>
      </c>
    </row>
    <row r="57" spans="1:50" ht="36" x14ac:dyDescent="0.25">
      <c r="A57" s="95" t="s">
        <v>607</v>
      </c>
      <c r="B57" s="147" t="s">
        <v>573</v>
      </c>
      <c r="C57" s="4" t="s">
        <v>6</v>
      </c>
      <c r="D57" s="41" t="s">
        <v>30</v>
      </c>
      <c r="E57" s="187">
        <v>45939</v>
      </c>
      <c r="F57" s="6">
        <v>45939</v>
      </c>
      <c r="G57" s="6" t="s">
        <v>143</v>
      </c>
      <c r="H57" s="14" t="s">
        <v>290</v>
      </c>
      <c r="I57" s="5" t="s">
        <v>576</v>
      </c>
      <c r="J57" s="5" t="s">
        <v>574</v>
      </c>
      <c r="K57" s="4" t="s">
        <v>575</v>
      </c>
      <c r="L57" s="5">
        <v>1</v>
      </c>
      <c r="M57" s="4" t="s">
        <v>28</v>
      </c>
      <c r="N57" s="160" t="s">
        <v>281</v>
      </c>
      <c r="O57" s="108" t="s">
        <v>581</v>
      </c>
      <c r="P57" s="4" t="s">
        <v>9</v>
      </c>
      <c r="Q57" s="4" t="s">
        <v>9</v>
      </c>
      <c r="R57" s="6"/>
      <c r="S57" s="71" t="s">
        <v>341</v>
      </c>
      <c r="T57" s="163">
        <v>45941</v>
      </c>
      <c r="U57" s="87"/>
      <c r="V57" s="57"/>
      <c r="W57" s="4">
        <f>IF(Tabla2[[#This Row],[¿PRE ALERTARDO?]]="SI",0,IF(Tabla2[[#This Row],[Columna1]]&gt;=15,1,-1))</f>
        <v>0</v>
      </c>
      <c r="X57" s="2" t="s">
        <v>143</v>
      </c>
      <c r="Y57" s="2">
        <v>45936</v>
      </c>
      <c r="Z57" s="1">
        <f ca="1">IF(Tabla2[[#This Row],[¿FACTURADO?]]="SI",0,IF(Tabla2[[#This Row],[Columna1]]&gt;=4,1,-1))</f>
        <v>-1</v>
      </c>
      <c r="AA57" s="5"/>
      <c r="AB57" s="121"/>
      <c r="AC57" s="6"/>
      <c r="AD57" s="15"/>
      <c r="AE57" s="6"/>
      <c r="AF57" s="1">
        <f ca="1">IF(Tabla2[[#This Row],[FACTURACION ALMACENAJE]]="SI",0,IF(Tabla2[[#This Row],[DIAS GENERADOS ALMACENAJE]]&lt;=0,1,-1))</f>
        <v>-1</v>
      </c>
      <c r="AG5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v>
      </c>
      <c r="AH57" s="6"/>
      <c r="AI57" s="15"/>
      <c r="AJ57" s="6"/>
      <c r="AK57" s="1">
        <f ca="1">IF(Tabla2[[#This Row],[FACTURACION DEMORAS]]="SI",0,IF(Tabla2[[#This Row],[DIAS GENERADOS DEMORA]]&lt;=0,1,-1))</f>
        <v>-1</v>
      </c>
      <c r="AL5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1</v>
      </c>
      <c r="AM57" s="6"/>
      <c r="AN57" s="8">
        <v>45913</v>
      </c>
      <c r="AO57" s="7"/>
      <c r="AP57" s="6"/>
      <c r="AQ57" s="9"/>
      <c r="AR57" s="8"/>
      <c r="AS57" s="15">
        <f>+Tabla2[[#This Row],[FECHA ATRAQUE]]-Tabla2[[#This Row],[ARRIBO A TRANSBORDO]]+1</f>
        <v>45942</v>
      </c>
      <c r="AT57" s="6"/>
      <c r="AU57" s="6">
        <v>45937</v>
      </c>
      <c r="AV57" s="6"/>
      <c r="AW57" s="6"/>
      <c r="AX57" s="11">
        <f ca="1">Tabla2[[#This Row],[FECHA ATRAQUE]]-TODAY()</f>
        <v>0</v>
      </c>
    </row>
    <row r="58" spans="1:50" ht="24" x14ac:dyDescent="0.25">
      <c r="A58" s="132" t="s">
        <v>501</v>
      </c>
      <c r="B58" s="188" t="s">
        <v>535</v>
      </c>
      <c r="C58" s="61" t="s">
        <v>6</v>
      </c>
      <c r="D58" s="41" t="s">
        <v>30</v>
      </c>
      <c r="E58" s="187">
        <v>45939</v>
      </c>
      <c r="F58" s="6">
        <v>45939</v>
      </c>
      <c r="G58" s="6" t="s">
        <v>143</v>
      </c>
      <c r="H58" s="14" t="s">
        <v>290</v>
      </c>
      <c r="I58" s="60" t="s">
        <v>541</v>
      </c>
      <c r="J58" s="60" t="s">
        <v>539</v>
      </c>
      <c r="K58" s="61" t="s">
        <v>540</v>
      </c>
      <c r="L58" s="5">
        <v>1</v>
      </c>
      <c r="M58" s="61" t="s">
        <v>28</v>
      </c>
      <c r="N58" s="61" t="s">
        <v>32</v>
      </c>
      <c r="O58" s="59"/>
      <c r="P58" s="4" t="s">
        <v>9</v>
      </c>
      <c r="Q58" s="4" t="s">
        <v>9</v>
      </c>
      <c r="R58" s="59"/>
      <c r="S58" s="111" t="s">
        <v>313</v>
      </c>
      <c r="T58" s="163">
        <v>45941</v>
      </c>
      <c r="U58" s="87"/>
      <c r="V58" s="57"/>
      <c r="W58" s="4">
        <f>IF(Tabla2[[#This Row],[¿PRE ALERTARDO?]]="SI",0,IF(Tabla2[[#This Row],[Columna1]]&gt;=15,1,-1))</f>
        <v>0</v>
      </c>
      <c r="X58" s="62" t="s">
        <v>143</v>
      </c>
      <c r="Y58" s="62">
        <v>45937</v>
      </c>
      <c r="Z58" s="1">
        <f>IF(Tabla2[[#This Row],[¿FACTURADO?]]="SI",0,IF(Tabla2[[#This Row],[Columna1]]&gt;=4,1,-1))</f>
        <v>-1</v>
      </c>
      <c r="AA58" s="60"/>
      <c r="AB58" s="121"/>
      <c r="AC58" s="59"/>
      <c r="AD58" s="15"/>
      <c r="AE58" s="59"/>
      <c r="AF58" s="1">
        <f ca="1">IF(Tabla2[[#This Row],[FACTURACION ALMACENAJE]]="SI",0,IF(Tabla2[[#This Row],[DIAS GENERADOS ALMACENAJE]]&lt;=0,1,-1))</f>
        <v>1</v>
      </c>
      <c r="AG58"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8" s="59"/>
      <c r="AI58" s="15"/>
      <c r="AJ58" s="59"/>
      <c r="AK58" s="1">
        <f ca="1">IF(Tabla2[[#This Row],[FACTURACION DEMORAS]]="SI",0,IF(Tabla2[[#This Row],[DIAS GENERADOS DEMORA]]&lt;=0,1,-1))</f>
        <v>1</v>
      </c>
      <c r="AL58"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8" s="59"/>
      <c r="AN58" s="65">
        <v>45931</v>
      </c>
      <c r="AO58" s="63"/>
      <c r="AP58" s="59"/>
      <c r="AQ58" s="64"/>
      <c r="AR58" s="65"/>
      <c r="AS58" s="15">
        <f>+Tabla2[[#This Row],[FECHA ATRAQUE]]-Tabla2[[#This Row],[ARRIBO A TRANSBORDO]]+1</f>
        <v>45942</v>
      </c>
      <c r="AT58" s="59"/>
      <c r="AU58" s="59"/>
      <c r="AV58" s="59"/>
      <c r="AW58" s="6"/>
      <c r="AX58" s="12">
        <v>-168</v>
      </c>
    </row>
    <row r="59" spans="1:50" ht="24" x14ac:dyDescent="0.25">
      <c r="A59" s="131" t="s">
        <v>608</v>
      </c>
      <c r="B59" s="147" t="s">
        <v>547</v>
      </c>
      <c r="C59" s="4" t="s">
        <v>6</v>
      </c>
      <c r="D59" s="125">
        <v>45931</v>
      </c>
      <c r="E59" s="6" t="s">
        <v>30</v>
      </c>
      <c r="F59" s="6">
        <v>45939</v>
      </c>
      <c r="G59" s="6" t="s">
        <v>143</v>
      </c>
      <c r="H59" s="14" t="s">
        <v>290</v>
      </c>
      <c r="I59" s="5" t="s">
        <v>548</v>
      </c>
      <c r="J59" s="5" t="s">
        <v>549</v>
      </c>
      <c r="K59" s="4" t="s">
        <v>550</v>
      </c>
      <c r="L59" s="5">
        <v>1</v>
      </c>
      <c r="M59" s="4" t="s">
        <v>28</v>
      </c>
      <c r="N59" s="4" t="s">
        <v>32</v>
      </c>
      <c r="O59" s="6"/>
      <c r="P59" s="4" t="s">
        <v>9</v>
      </c>
      <c r="Q59" s="4" t="s">
        <v>9</v>
      </c>
      <c r="R59" s="6"/>
      <c r="S59" s="111" t="s">
        <v>313</v>
      </c>
      <c r="T59" s="163">
        <v>45941</v>
      </c>
      <c r="U59" s="87"/>
      <c r="V59" s="57"/>
      <c r="W59" s="4">
        <f>IF(Tabla2[[#This Row],[¿PRE ALERTARDO?]]="SI",0,IF(Tabla2[[#This Row],[Columna1]]&gt;=15,1,-1))</f>
        <v>-1</v>
      </c>
      <c r="X59" s="2"/>
      <c r="Y59" s="2"/>
      <c r="Z59" s="1">
        <f>IF(Tabla2[[#This Row],[¿FACTURADO?]]="SI",0,IF(Tabla2[[#This Row],[Columna1]]&gt;=4,1,-1))</f>
        <v>-1</v>
      </c>
      <c r="AA59" s="5"/>
      <c r="AB59" s="121"/>
      <c r="AC59" s="6"/>
      <c r="AD59" s="15"/>
      <c r="AE59" s="6"/>
      <c r="AF59" s="1">
        <f ca="1">IF(Tabla2[[#This Row],[FACTURACION ALMACENAJE]]="SI",0,IF(Tabla2[[#This Row],[DIAS GENERADOS ALMACENAJE]]&lt;=0,1,-1))</f>
        <v>1</v>
      </c>
      <c r="AG5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9" s="6"/>
      <c r="AI59" s="15"/>
      <c r="AJ59" s="6"/>
      <c r="AK59" s="1">
        <f ca="1">IF(Tabla2[[#This Row],[FACTURACION DEMORAS]]="SI",0,IF(Tabla2[[#This Row],[DIAS GENERADOS DEMORA]]&lt;=0,1,-1))</f>
        <v>1</v>
      </c>
      <c r="AL5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9" s="6"/>
      <c r="AN59" s="8">
        <v>45931</v>
      </c>
      <c r="AO59" s="7"/>
      <c r="AP59" s="6"/>
      <c r="AQ59" s="9"/>
      <c r="AR59" s="8"/>
      <c r="AS59" s="15">
        <f>+Tabla2[[#This Row],[FECHA ATRAQUE]]-Tabla2[[#This Row],[ARRIBO A TRANSBORDO]]+1</f>
        <v>45942</v>
      </c>
      <c r="AT59" s="6"/>
      <c r="AU59" s="6"/>
      <c r="AV59" s="6"/>
      <c r="AW59" s="6"/>
      <c r="AX59" s="11">
        <v>-168</v>
      </c>
    </row>
    <row r="60" spans="1:50" ht="24" x14ac:dyDescent="0.25">
      <c r="A60" s="132" t="s">
        <v>501</v>
      </c>
      <c r="B60" s="147" t="s">
        <v>551</v>
      </c>
      <c r="C60" s="4" t="s">
        <v>6</v>
      </c>
      <c r="D60" s="41" t="s">
        <v>30</v>
      </c>
      <c r="E60" s="187">
        <v>45939</v>
      </c>
      <c r="F60" s="6">
        <v>45939</v>
      </c>
      <c r="G60" s="6" t="s">
        <v>143</v>
      </c>
      <c r="H60" s="14" t="s">
        <v>290</v>
      </c>
      <c r="I60" s="5" t="s">
        <v>552</v>
      </c>
      <c r="J60" s="5" t="s">
        <v>554</v>
      </c>
      <c r="K60" s="4" t="s">
        <v>553</v>
      </c>
      <c r="L60" s="5">
        <v>1</v>
      </c>
      <c r="M60" s="4" t="s">
        <v>28</v>
      </c>
      <c r="N60" s="4" t="s">
        <v>32</v>
      </c>
      <c r="O60" s="6"/>
      <c r="P60" s="4" t="s">
        <v>9</v>
      </c>
      <c r="Q60" s="4" t="s">
        <v>9</v>
      </c>
      <c r="R60" s="6"/>
      <c r="S60" s="111" t="s">
        <v>313</v>
      </c>
      <c r="T60" s="165">
        <v>45941</v>
      </c>
      <c r="U60" s="87"/>
      <c r="V60" s="57"/>
      <c r="W60" s="4">
        <f>IF(Tabla2[[#This Row],[¿PRE ALERTARDO?]]="SI",0,IF(Tabla2[[#This Row],[Columna1]]&gt;=15,1,-1))</f>
        <v>-1</v>
      </c>
      <c r="X60" s="2"/>
      <c r="Y60" s="2"/>
      <c r="Z60" s="1">
        <f>IF(Tabla2[[#This Row],[¿FACTURADO?]]="SI",0,IF(Tabla2[[#This Row],[Columna1]]&gt;=4,1,-1))</f>
        <v>-1</v>
      </c>
      <c r="AA60" s="5"/>
      <c r="AB60" s="121"/>
      <c r="AC60" s="6"/>
      <c r="AD60" s="15"/>
      <c r="AE60" s="6"/>
      <c r="AF60" s="1">
        <f ca="1">IF(Tabla2[[#This Row],[FACTURACION ALMACENAJE]]="SI",0,IF(Tabla2[[#This Row],[DIAS GENERADOS ALMACENAJE]]&lt;=0,1,-1))</f>
        <v>1</v>
      </c>
      <c r="AG6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0" s="6"/>
      <c r="AI60" s="15"/>
      <c r="AJ60" s="6"/>
      <c r="AK60" s="1">
        <f ca="1">IF(Tabla2[[#This Row],[FACTURACION DEMORAS]]="SI",0,IF(Tabla2[[#This Row],[DIAS GENERADOS DEMORA]]&lt;=0,1,-1))</f>
        <v>1</v>
      </c>
      <c r="AL6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0" s="6"/>
      <c r="AN60" s="8">
        <v>45929</v>
      </c>
      <c r="AO60" s="7"/>
      <c r="AP60" s="6"/>
      <c r="AQ60" s="9"/>
      <c r="AR60" s="8"/>
      <c r="AS60" s="15">
        <f>+Tabla2[[#This Row],[FECHA ATRAQUE]]-Tabla2[[#This Row],[ARRIBO A TRANSBORDO]]+1</f>
        <v>45942</v>
      </c>
      <c r="AT60" s="6"/>
      <c r="AU60" s="6"/>
      <c r="AV60" s="6"/>
      <c r="AW60" s="6"/>
      <c r="AX60" s="11">
        <v>-168</v>
      </c>
    </row>
    <row r="61" spans="1:50" ht="132" x14ac:dyDescent="0.25">
      <c r="A61" s="94" t="s">
        <v>620</v>
      </c>
      <c r="B61" s="122" t="s">
        <v>309</v>
      </c>
      <c r="C61" s="4" t="s">
        <v>6</v>
      </c>
      <c r="D61" s="125" t="s">
        <v>609</v>
      </c>
      <c r="E61" s="109" t="s">
        <v>610</v>
      </c>
      <c r="F61" s="6">
        <v>45939</v>
      </c>
      <c r="G61" s="6" t="s">
        <v>143</v>
      </c>
      <c r="H61" s="14" t="s">
        <v>290</v>
      </c>
      <c r="I61" s="5" t="s">
        <v>310</v>
      </c>
      <c r="J61" s="5" t="s">
        <v>311</v>
      </c>
      <c r="K61" s="5" t="s">
        <v>312</v>
      </c>
      <c r="L61" s="5">
        <v>1</v>
      </c>
      <c r="M61" s="4" t="s">
        <v>28</v>
      </c>
      <c r="N61" s="4" t="s">
        <v>32</v>
      </c>
      <c r="O61" s="6"/>
      <c r="P61" s="4" t="s">
        <v>9</v>
      </c>
      <c r="Q61" s="4" t="s">
        <v>9</v>
      </c>
      <c r="R61" s="6"/>
      <c r="S61" s="108" t="s">
        <v>294</v>
      </c>
      <c r="T61" s="165">
        <v>45941</v>
      </c>
      <c r="U61" s="87"/>
      <c r="V61" s="57">
        <f>Tabla2[[#This Row],[FECHA ATRAQUE]]-Tabla2[[#This Row],[ETD]]+1</f>
        <v>58</v>
      </c>
      <c r="W61" s="4">
        <f>IF(Tabla2[[#This Row],[¿PRE ALERTARDO?]]="SI",0,IF(Tabla2[[#This Row],[Columna1]]&gt;=15,1,-1))</f>
        <v>0</v>
      </c>
      <c r="X61" s="2" t="s">
        <v>143</v>
      </c>
      <c r="Y61" s="2">
        <v>45904</v>
      </c>
      <c r="Z61" s="1">
        <f ca="1">IF(Tabla2[[#This Row],[¿FACTURADO?]]="SI",0,IF(Tabla2[[#This Row],[Columna1]]&gt;=4,1,-1))</f>
        <v>-1</v>
      </c>
      <c r="AA61" s="5"/>
      <c r="AB61" s="121"/>
      <c r="AC61" s="6"/>
      <c r="AD61" s="15">
        <v>7</v>
      </c>
      <c r="AE61" s="6"/>
      <c r="AF61" s="1">
        <f ca="1">IF(Tabla2[[#This Row],[FACTURACION ALMACENAJE]]="SI",0,IF(Tabla2[[#This Row],[DIAS GENERADOS ALMACENAJE]]&lt;=0,1,-1))</f>
        <v>1</v>
      </c>
      <c r="AG6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1" s="6"/>
      <c r="AI61" s="15">
        <v>14</v>
      </c>
      <c r="AJ61" s="6"/>
      <c r="AK61" s="1">
        <f ca="1">IF(Tabla2[[#This Row],[FACTURACION DEMORAS]]="SI",0,IF(Tabla2[[#This Row],[DIAS GENERADOS DEMORA]]&lt;=0,1,-1))</f>
        <v>1</v>
      </c>
      <c r="AL6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1" s="6"/>
      <c r="AN61" s="8">
        <v>45896</v>
      </c>
      <c r="AO61" s="7" t="s">
        <v>176</v>
      </c>
      <c r="AP61" s="6">
        <v>45884</v>
      </c>
      <c r="AQ61" s="9" t="s">
        <v>25</v>
      </c>
      <c r="AR61" s="8">
        <v>45917</v>
      </c>
      <c r="AS61" s="15">
        <f>+Tabla2[[#This Row],[FECHA ATRAQUE]]-Tabla2[[#This Row],[ARRIBO A TRANSBORDO]]+1</f>
        <v>25</v>
      </c>
      <c r="AT61" s="6"/>
      <c r="AU61" s="6"/>
      <c r="AV61" s="6"/>
      <c r="AW61" s="6" t="s">
        <v>145</v>
      </c>
      <c r="AX61" s="11">
        <f ca="1">Tabla2[[#This Row],[FECHA ATRAQUE]]-TODAY()</f>
        <v>0</v>
      </c>
    </row>
    <row r="62" spans="1:50" ht="120" x14ac:dyDescent="0.25">
      <c r="A62" s="94" t="s">
        <v>612</v>
      </c>
      <c r="B62" s="180" t="s">
        <v>288</v>
      </c>
      <c r="C62" s="4" t="s">
        <v>6</v>
      </c>
      <c r="D62" s="41" t="s">
        <v>30</v>
      </c>
      <c r="E62" s="2" t="s">
        <v>611</v>
      </c>
      <c r="F62" s="6">
        <v>45939</v>
      </c>
      <c r="G62" s="6" t="s">
        <v>143</v>
      </c>
      <c r="H62" s="14" t="s">
        <v>290</v>
      </c>
      <c r="I62" s="15" t="s">
        <v>291</v>
      </c>
      <c r="J62" s="4" t="s">
        <v>292</v>
      </c>
      <c r="K62" s="4" t="s">
        <v>293</v>
      </c>
      <c r="L62" s="4">
        <v>1</v>
      </c>
      <c r="M62" s="4" t="s">
        <v>28</v>
      </c>
      <c r="N62" s="4" t="s">
        <v>32</v>
      </c>
      <c r="O62" s="6"/>
      <c r="P62" s="4" t="s">
        <v>9</v>
      </c>
      <c r="Q62" s="4" t="s">
        <v>9</v>
      </c>
      <c r="R62" s="6"/>
      <c r="S62" s="108" t="s">
        <v>294</v>
      </c>
      <c r="T62" s="165">
        <v>45941</v>
      </c>
      <c r="U62" s="2"/>
      <c r="V62" s="57">
        <f>Tabla2[[#This Row],[FECHA ATRAQUE]]-Tabla2[[#This Row],[ETD]]+1</f>
        <v>65</v>
      </c>
      <c r="W62" s="4">
        <f>IF(Tabla2[[#This Row],[¿PRE ALERTARDO?]]="SI",0,IF(Tabla2[[#This Row],[Columna1]]&gt;=15,1,-1))</f>
        <v>0</v>
      </c>
      <c r="X62" s="2" t="s">
        <v>143</v>
      </c>
      <c r="Y62" s="2">
        <v>45903</v>
      </c>
      <c r="Z62" s="1">
        <f ca="1">IF(Tabla2[[#This Row],[¿FACTURADO?]]="SI",0,IF(Tabla2[[#This Row],[Columna1]]&gt;=4,1,-1))</f>
        <v>-1</v>
      </c>
      <c r="AA62" s="1"/>
      <c r="AB62" s="121"/>
      <c r="AC62" s="6"/>
      <c r="AD62" s="15">
        <v>7</v>
      </c>
      <c r="AE62" s="117"/>
      <c r="AF62" s="1">
        <f ca="1">IF(Tabla2[[#This Row],[FACTURACION ALMACENAJE]]="SI",0,IF(Tabla2[[#This Row],[DIAS GENERADOS ALMACENAJE]]&lt;=0,1,-1))</f>
        <v>1</v>
      </c>
      <c r="AG6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2" s="117"/>
      <c r="AI62" s="15">
        <v>14</v>
      </c>
      <c r="AJ62" s="117"/>
      <c r="AK62" s="1">
        <f ca="1">IF(Tabla2[[#This Row],[FACTURACION DEMORAS]]="SI",0,IF(Tabla2[[#This Row],[DIAS GENERADOS DEMORA]]&lt;=0,1,-1))</f>
        <v>1</v>
      </c>
      <c r="AL6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2" s="117"/>
      <c r="AN62" s="17">
        <v>45892</v>
      </c>
      <c r="AO62" s="9" t="s">
        <v>201</v>
      </c>
      <c r="AP62" s="17">
        <v>45877</v>
      </c>
      <c r="AQ62" s="9" t="s">
        <v>25</v>
      </c>
      <c r="AR62" s="17">
        <v>45924</v>
      </c>
      <c r="AS62" s="15">
        <f>+Tabla2[[#This Row],[FECHA ATRAQUE]]-Tabla2[[#This Row],[ARRIBO A TRANSBORDO]]+1</f>
        <v>18</v>
      </c>
      <c r="AT62" s="6"/>
      <c r="AU62" s="6"/>
      <c r="AV62" s="6"/>
      <c r="AW62" s="6" t="s">
        <v>145</v>
      </c>
      <c r="AX62" s="11">
        <f ca="1">Tabla2[[#This Row],[FECHA ATRAQUE]]-TODAY()</f>
        <v>0</v>
      </c>
    </row>
    <row r="63" spans="1:50" ht="156" x14ac:dyDescent="0.25">
      <c r="A63" s="94" t="s">
        <v>615</v>
      </c>
      <c r="B63" s="189" t="s">
        <v>337</v>
      </c>
      <c r="C63" s="4" t="s">
        <v>6</v>
      </c>
      <c r="D63" s="125" t="s">
        <v>613</v>
      </c>
      <c r="E63" s="130" t="s">
        <v>614</v>
      </c>
      <c r="F63" s="6">
        <v>45939</v>
      </c>
      <c r="G63" s="6" t="s">
        <v>143</v>
      </c>
      <c r="H63" s="14" t="s">
        <v>290</v>
      </c>
      <c r="I63" s="15" t="s">
        <v>338</v>
      </c>
      <c r="J63" s="4" t="s">
        <v>344</v>
      </c>
      <c r="K63" s="4" t="s">
        <v>339</v>
      </c>
      <c r="L63" s="4">
        <v>1</v>
      </c>
      <c r="M63" s="4" t="s">
        <v>28</v>
      </c>
      <c r="N63" s="4" t="s">
        <v>32</v>
      </c>
      <c r="O63" s="6"/>
      <c r="P63" s="4" t="s">
        <v>9</v>
      </c>
      <c r="Q63" s="4" t="s">
        <v>9</v>
      </c>
      <c r="R63" s="6"/>
      <c r="S63" s="108" t="s">
        <v>313</v>
      </c>
      <c r="T63" s="165">
        <v>45941</v>
      </c>
      <c r="U63" s="2"/>
      <c r="V63" s="57">
        <f>Tabla2[[#This Row],[FECHA ATRAQUE]]-Tabla2[[#This Row],[ETD]]+1</f>
        <v>65</v>
      </c>
      <c r="W63" s="4">
        <f>IF(Tabla2[[#This Row],[¿PRE ALERTARDO?]]="SI",0,IF(Tabla2[[#This Row],[Columna1]]&gt;=15,1,-1))</f>
        <v>0</v>
      </c>
      <c r="X63" s="2" t="s">
        <v>143</v>
      </c>
      <c r="Y63" s="2">
        <v>45904</v>
      </c>
      <c r="Z63" s="1">
        <f ca="1">IF(Tabla2[[#This Row],[¿FACTURADO?]]="SI",0,IF(Tabla2[[#This Row],[Columna1]]&gt;=4,1,-1))</f>
        <v>-1</v>
      </c>
      <c r="AA63" s="1"/>
      <c r="AB63" s="121"/>
      <c r="AC63" s="6"/>
      <c r="AD63" s="15">
        <v>7</v>
      </c>
      <c r="AE63" s="117"/>
      <c r="AF63" s="1">
        <f ca="1">IF(Tabla2[[#This Row],[FACTURACION ALMACENAJE]]="SI",0,IF(Tabla2[[#This Row],[DIAS GENERADOS ALMACENAJE]]&lt;=0,1,-1))</f>
        <v>1</v>
      </c>
      <c r="AG6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3" s="117"/>
      <c r="AI63" s="15">
        <v>14</v>
      </c>
      <c r="AJ63" s="117"/>
      <c r="AK63" s="1">
        <f ca="1">IF(Tabla2[[#This Row],[FACTURACION DEMORAS]]="SI",0,IF(Tabla2[[#This Row],[DIAS GENERADOS DEMORA]]&lt;=0,1,-1))</f>
        <v>1</v>
      </c>
      <c r="AL6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3" s="117"/>
      <c r="AN63" s="17">
        <v>45892</v>
      </c>
      <c r="AO63" s="4" t="s">
        <v>201</v>
      </c>
      <c r="AP63" s="17">
        <v>45877</v>
      </c>
      <c r="AQ63" s="9" t="s">
        <v>25</v>
      </c>
      <c r="AR63" s="17">
        <v>45924</v>
      </c>
      <c r="AS63" s="15">
        <f>+Tabla2[[#This Row],[FECHA ATRAQUE]]-Tabla2[[#This Row],[ARRIBO A TRANSBORDO]]+1</f>
        <v>18</v>
      </c>
      <c r="AT63" s="6"/>
      <c r="AU63" s="6"/>
      <c r="AV63" s="6"/>
      <c r="AW63" s="6" t="s">
        <v>145</v>
      </c>
      <c r="AX63" s="11">
        <f ca="1">Tabla2[[#This Row],[FECHA ATRAQUE]]-TODAY()</f>
        <v>0</v>
      </c>
    </row>
    <row r="64" spans="1:50" ht="84" x14ac:dyDescent="0.25">
      <c r="A64" s="94" t="s">
        <v>621</v>
      </c>
      <c r="B64" s="122" t="s">
        <v>324</v>
      </c>
      <c r="C64" s="4" t="s">
        <v>6</v>
      </c>
      <c r="D64" s="125" t="s">
        <v>616</v>
      </c>
      <c r="E64" s="109" t="s">
        <v>617</v>
      </c>
      <c r="F64" s="6">
        <v>45939</v>
      </c>
      <c r="G64" s="6" t="s">
        <v>143</v>
      </c>
      <c r="H64" s="14" t="s">
        <v>290</v>
      </c>
      <c r="I64" s="5" t="s">
        <v>325</v>
      </c>
      <c r="J64" s="5" t="s">
        <v>326</v>
      </c>
      <c r="K64" s="4" t="s">
        <v>327</v>
      </c>
      <c r="L64" s="5">
        <v>1</v>
      </c>
      <c r="M64" s="4" t="s">
        <v>28</v>
      </c>
      <c r="N64" s="4" t="s">
        <v>32</v>
      </c>
      <c r="O64" s="6"/>
      <c r="P64" s="4" t="s">
        <v>9</v>
      </c>
      <c r="Q64" s="4" t="s">
        <v>9</v>
      </c>
      <c r="R64" s="6"/>
      <c r="S64" s="111" t="s">
        <v>313</v>
      </c>
      <c r="T64" s="165">
        <v>45941</v>
      </c>
      <c r="U64" s="87"/>
      <c r="V64" s="57">
        <f>Tabla2[[#This Row],[FECHA ATRAQUE]]-Tabla2[[#This Row],[ETD]]+1</f>
        <v>65</v>
      </c>
      <c r="W64" s="4">
        <f>IF(Tabla2[[#This Row],[¿PRE ALERTARDO?]]="SI",0,IF(Tabla2[[#This Row],[Columna1]]&gt;=15,1,-1))</f>
        <v>0</v>
      </c>
      <c r="X64" s="2" t="s">
        <v>143</v>
      </c>
      <c r="Y64" s="2">
        <v>45903</v>
      </c>
      <c r="Z64" s="1">
        <f ca="1">IF(Tabla2[[#This Row],[¿FACTURADO?]]="SI",0,IF(Tabla2[[#This Row],[Columna1]]&gt;=4,1,-1))</f>
        <v>-1</v>
      </c>
      <c r="AA64" s="5"/>
      <c r="AB64" s="121"/>
      <c r="AC64" s="6"/>
      <c r="AD64" s="15">
        <v>7</v>
      </c>
      <c r="AE64" s="6"/>
      <c r="AF64" s="1">
        <f ca="1">IF(Tabla2[[#This Row],[FACTURACION ALMACENAJE]]="SI",0,IF(Tabla2[[#This Row],[DIAS GENERADOS ALMACENAJE]]&lt;=0,1,-1))</f>
        <v>1</v>
      </c>
      <c r="AG6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4" s="6"/>
      <c r="AI64" s="15">
        <v>14</v>
      </c>
      <c r="AJ64" s="6"/>
      <c r="AK64" s="1">
        <f ca="1">IF(Tabla2[[#This Row],[FACTURACION DEMORAS]]="SI",0,IF(Tabla2[[#This Row],[DIAS GENERADOS DEMORA]]&lt;=0,1,-1))</f>
        <v>1</v>
      </c>
      <c r="AL6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4" s="6"/>
      <c r="AN64" s="8">
        <v>45895</v>
      </c>
      <c r="AO64" s="7" t="s">
        <v>323</v>
      </c>
      <c r="AP64" s="6">
        <v>45877</v>
      </c>
      <c r="AQ64" s="9" t="s">
        <v>25</v>
      </c>
      <c r="AR64" s="8">
        <v>45924</v>
      </c>
      <c r="AS64" s="15">
        <f>+Tabla2[[#This Row],[FECHA ATRAQUE]]-Tabla2[[#This Row],[ARRIBO A TRANSBORDO]]+1</f>
        <v>18</v>
      </c>
      <c r="AT64" s="6"/>
      <c r="AU64" s="6"/>
      <c r="AV64" s="6"/>
      <c r="AW64" s="6" t="s">
        <v>145</v>
      </c>
      <c r="AX64" s="11">
        <f ca="1">Tabla2[[#This Row],[FECHA ATRAQUE]]-TODAY()</f>
        <v>0</v>
      </c>
    </row>
    <row r="65" spans="1:50" ht="108" x14ac:dyDescent="0.25">
      <c r="A65" s="190" t="s">
        <v>622</v>
      </c>
      <c r="B65" s="147" t="s">
        <v>317</v>
      </c>
      <c r="C65" s="4" t="s">
        <v>6</v>
      </c>
      <c r="D65" s="125" t="s">
        <v>618</v>
      </c>
      <c r="E65" s="130" t="s">
        <v>619</v>
      </c>
      <c r="F65" s="6">
        <v>45939</v>
      </c>
      <c r="G65" s="6" t="s">
        <v>143</v>
      </c>
      <c r="H65" s="14" t="s">
        <v>290</v>
      </c>
      <c r="I65" s="5" t="s">
        <v>319</v>
      </c>
      <c r="J65" s="5" t="s">
        <v>320</v>
      </c>
      <c r="K65" s="5" t="s">
        <v>321</v>
      </c>
      <c r="L65" s="5">
        <v>1</v>
      </c>
      <c r="M65" s="4" t="s">
        <v>28</v>
      </c>
      <c r="N65" s="4" t="s">
        <v>32</v>
      </c>
      <c r="O65" s="6"/>
      <c r="P65" s="4" t="s">
        <v>9</v>
      </c>
      <c r="Q65" s="4" t="s">
        <v>9</v>
      </c>
      <c r="R65" s="6"/>
      <c r="S65" s="111" t="s">
        <v>313</v>
      </c>
      <c r="T65" s="109">
        <v>45941</v>
      </c>
      <c r="U65" s="2"/>
      <c r="V65" s="57">
        <f>Tabla2[[#This Row],[FECHA ATRAQUE]]-Tabla2[[#This Row],[ETD]]+1</f>
        <v>58</v>
      </c>
      <c r="W65" s="4">
        <f>IF(Tabla2[[#This Row],[¿PRE ALERTARDO?]]="SI",0,IF(Tabla2[[#This Row],[Columna1]]&gt;=15,1,-1))</f>
        <v>0</v>
      </c>
      <c r="X65" s="2" t="s">
        <v>143</v>
      </c>
      <c r="Y65" s="2">
        <v>45904</v>
      </c>
      <c r="Z65" s="1">
        <f ca="1">IF(Tabla2[[#This Row],[¿FACTURADO?]]="SI",0,IF(Tabla2[[#This Row],[Columna1]]&gt;=4,1,-1))</f>
        <v>-1</v>
      </c>
      <c r="AA65" s="5"/>
      <c r="AB65" s="121"/>
      <c r="AC65" s="6"/>
      <c r="AD65" s="15">
        <v>7</v>
      </c>
      <c r="AE65" s="6"/>
      <c r="AF65" s="1">
        <f ca="1">IF(Tabla2[[#This Row],[FACTURACION ALMACENAJE]]="SI",0,IF(Tabla2[[#This Row],[DIAS GENERADOS ALMACENAJE]]&lt;=0,1,-1))</f>
        <v>1</v>
      </c>
      <c r="AG6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5" s="6"/>
      <c r="AI65" s="15">
        <v>14</v>
      </c>
      <c r="AJ65" s="6"/>
      <c r="AK65" s="1">
        <f ca="1">IF(Tabla2[[#This Row],[FACTURACION DEMORAS]]="SI",0,IF(Tabla2[[#This Row],[DIAS GENERADOS DEMORA]]&lt;=0,1,-1))</f>
        <v>1</v>
      </c>
      <c r="AL6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5" s="6"/>
      <c r="AN65" s="8">
        <v>45896</v>
      </c>
      <c r="AO65" s="7" t="s">
        <v>323</v>
      </c>
      <c r="AP65" s="6">
        <v>45884</v>
      </c>
      <c r="AQ65" s="9" t="s">
        <v>25</v>
      </c>
      <c r="AR65" s="8">
        <v>45931</v>
      </c>
      <c r="AS65" s="15">
        <f>+Tabla2[[#This Row],[FECHA ATRAQUE]]-Tabla2[[#This Row],[ARRIBO A TRANSBORDO]]+1</f>
        <v>11</v>
      </c>
      <c r="AT65" s="6"/>
      <c r="AU65" s="6"/>
      <c r="AV65" s="6"/>
      <c r="AW65" s="6" t="s">
        <v>145</v>
      </c>
      <c r="AX65" s="11">
        <f ca="1">Tabla2[[#This Row],[FECHA ATRAQUE]]-TODAY()</f>
        <v>0</v>
      </c>
    </row>
    <row r="66" spans="1:50" ht="24" x14ac:dyDescent="0.25">
      <c r="A66" s="158" t="s">
        <v>562</v>
      </c>
      <c r="B66" s="159" t="s">
        <v>560</v>
      </c>
      <c r="C66" s="160" t="s">
        <v>6</v>
      </c>
      <c r="D66" s="41"/>
      <c r="E66" s="6"/>
      <c r="F66" s="6"/>
      <c r="G66" s="6" t="s">
        <v>143</v>
      </c>
      <c r="H66" s="14" t="s">
        <v>290</v>
      </c>
      <c r="I66" s="5" t="s">
        <v>561</v>
      </c>
      <c r="J66" s="5" t="s">
        <v>564</v>
      </c>
      <c r="K66" s="4" t="s">
        <v>563</v>
      </c>
      <c r="L66" s="5">
        <v>1</v>
      </c>
      <c r="M66" s="4" t="s">
        <v>28</v>
      </c>
      <c r="N66" s="160" t="s">
        <v>281</v>
      </c>
      <c r="O66" s="6"/>
      <c r="P66" s="4" t="s">
        <v>9</v>
      </c>
      <c r="Q66" s="4" t="s">
        <v>9</v>
      </c>
      <c r="R66" s="6"/>
      <c r="S66" s="137" t="s">
        <v>565</v>
      </c>
      <c r="T66" s="163">
        <v>45947</v>
      </c>
      <c r="U66" s="87"/>
      <c r="V66" s="57"/>
      <c r="W66" s="4"/>
      <c r="X66" s="2"/>
      <c r="Y66" s="2"/>
      <c r="Z66" s="1"/>
      <c r="AA66" s="5"/>
      <c r="AB66" s="121"/>
      <c r="AC66" s="6"/>
      <c r="AD66" s="15"/>
      <c r="AE66" s="6"/>
      <c r="AF66" s="1">
        <f ca="1">IF(Tabla2[[#This Row],[FACTURACION ALMACENAJE]]="SI",0,IF(Tabla2[[#This Row],[DIAS GENERADOS ALMACENAJE]]&lt;=0,1,-1))</f>
        <v>1</v>
      </c>
      <c r="AG6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6" s="6"/>
      <c r="AI66" s="15"/>
      <c r="AJ66" s="6"/>
      <c r="AK66" s="1">
        <f ca="1">IF(Tabla2[[#This Row],[FACTURACION DEMORAS]]="SI",0,IF(Tabla2[[#This Row],[DIAS GENERADOS DEMORA]]&lt;=0,1,-1))</f>
        <v>1</v>
      </c>
      <c r="AL6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6" s="6"/>
      <c r="AN66" s="8">
        <v>45923</v>
      </c>
      <c r="AO66" s="7"/>
      <c r="AP66" s="6"/>
      <c r="AQ66" s="9"/>
      <c r="AR66" s="8"/>
      <c r="AS66" s="15">
        <f>+Tabla2[[#This Row],[FECHA ATRAQUE]]-Tabla2[[#This Row],[ARRIBO A TRANSBORDO]]+1</f>
        <v>45948</v>
      </c>
      <c r="AT66" s="6"/>
      <c r="AU66" s="6"/>
      <c r="AV66" s="6"/>
      <c r="AW66" s="6"/>
      <c r="AX66" s="11">
        <f ca="1">Tabla2[[#This Row],[FECHA ATRAQUE]]-TODAY()</f>
        <v>6</v>
      </c>
    </row>
    <row r="67" spans="1:50" ht="24" x14ac:dyDescent="0.25">
      <c r="A67" s="93" t="s">
        <v>501</v>
      </c>
      <c r="B67" s="159" t="s">
        <v>568</v>
      </c>
      <c r="C67" s="160" t="s">
        <v>6</v>
      </c>
      <c r="D67" s="41"/>
      <c r="E67" s="6"/>
      <c r="F67" s="6"/>
      <c r="G67" s="6" t="s">
        <v>143</v>
      </c>
      <c r="H67" s="14" t="s">
        <v>290</v>
      </c>
      <c r="I67" s="5" t="s">
        <v>572</v>
      </c>
      <c r="J67" s="5" t="s">
        <v>569</v>
      </c>
      <c r="K67" s="4" t="s">
        <v>570</v>
      </c>
      <c r="L67" s="5">
        <v>1</v>
      </c>
      <c r="M67" s="4" t="s">
        <v>28</v>
      </c>
      <c r="N67" s="4" t="s">
        <v>69</v>
      </c>
      <c r="O67" s="6"/>
      <c r="P67" s="4" t="s">
        <v>9</v>
      </c>
      <c r="Q67" s="4" t="s">
        <v>9</v>
      </c>
      <c r="R67" s="6"/>
      <c r="S67" s="137" t="s">
        <v>571</v>
      </c>
      <c r="T67" s="163">
        <v>45950</v>
      </c>
      <c r="U67" s="87"/>
      <c r="V67" s="57"/>
      <c r="W67" s="4"/>
      <c r="X67" s="2"/>
      <c r="Y67" s="2"/>
      <c r="Z67" s="1"/>
      <c r="AA67" s="5"/>
      <c r="AB67" s="121"/>
      <c r="AC67" s="6"/>
      <c r="AD67" s="15"/>
      <c r="AE67" s="6"/>
      <c r="AF67" s="1">
        <f ca="1">IF(Tabla2[[#This Row],[FACTURACION ALMACENAJE]]="SI",0,IF(Tabla2[[#This Row],[DIAS GENERADOS ALMACENAJE]]&lt;=0,1,-1))</f>
        <v>1</v>
      </c>
      <c r="AG6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7" s="6"/>
      <c r="AI67" s="15"/>
      <c r="AJ67" s="6"/>
      <c r="AK67" s="1">
        <f ca="1">IF(Tabla2[[#This Row],[FACTURACION DEMORAS]]="SI",0,IF(Tabla2[[#This Row],[DIAS GENERADOS DEMORA]]&lt;=0,1,-1))</f>
        <v>1</v>
      </c>
      <c r="AL6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7" s="6"/>
      <c r="AN67" s="8">
        <v>45913</v>
      </c>
      <c r="AO67" s="7"/>
      <c r="AP67" s="6"/>
      <c r="AQ67" s="9"/>
      <c r="AR67" s="8"/>
      <c r="AS67" s="15">
        <f>+Tabla2[[#This Row],[FECHA ATRAQUE]]-Tabla2[[#This Row],[ARRIBO A TRANSBORDO]]+1</f>
        <v>45951</v>
      </c>
      <c r="AT67" s="6"/>
      <c r="AU67" s="6"/>
      <c r="AV67" s="6"/>
      <c r="AW67" s="6"/>
      <c r="AX67" s="11">
        <f ca="1">Tabla2[[#This Row],[FECHA ATRAQUE]]-TODAY()</f>
        <v>9</v>
      </c>
    </row>
    <row r="68" spans="1:50" ht="48" x14ac:dyDescent="0.25">
      <c r="A68" s="157" t="s">
        <v>534</v>
      </c>
      <c r="B68" s="159" t="s">
        <v>533</v>
      </c>
      <c r="C68" s="160" t="s">
        <v>6</v>
      </c>
      <c r="D68" s="41"/>
      <c r="E68" s="6"/>
      <c r="F68" s="6"/>
      <c r="G68" s="6" t="s">
        <v>143</v>
      </c>
      <c r="H68" s="14" t="s">
        <v>290</v>
      </c>
      <c r="I68" s="5" t="s">
        <v>538</v>
      </c>
      <c r="J68" s="5" t="s">
        <v>536</v>
      </c>
      <c r="K68" s="4" t="s">
        <v>537</v>
      </c>
      <c r="L68" s="5">
        <v>2</v>
      </c>
      <c r="M68" s="4" t="s">
        <v>28</v>
      </c>
      <c r="N68" s="4" t="s">
        <v>32</v>
      </c>
      <c r="O68" s="6"/>
      <c r="P68" s="4" t="s">
        <v>9</v>
      </c>
      <c r="Q68" s="4" t="s">
        <v>9</v>
      </c>
      <c r="R68" s="6"/>
      <c r="S68" s="137" t="s">
        <v>546</v>
      </c>
      <c r="T68" s="163">
        <v>45965</v>
      </c>
      <c r="U68" s="87"/>
      <c r="V68" s="57"/>
      <c r="W68" s="4"/>
      <c r="X68" s="2"/>
      <c r="Y68" s="2"/>
      <c r="Z68" s="1"/>
      <c r="AA68" s="5"/>
      <c r="AB68" s="121"/>
      <c r="AC68" s="6"/>
      <c r="AD68" s="15"/>
      <c r="AE68" s="6"/>
      <c r="AF68" s="1">
        <f ca="1">IF(Tabla2[[#This Row],[FACTURACION ALMACENAJE]]="SI",0,IF(Tabla2[[#This Row],[DIAS GENERADOS ALMACENAJE]]&lt;=0,1,-1))</f>
        <v>1</v>
      </c>
      <c r="AG6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8" s="6"/>
      <c r="AI68" s="15"/>
      <c r="AJ68" s="6"/>
      <c r="AK68" s="1">
        <f ca="1">IF(Tabla2[[#This Row],[FACTURACION DEMORAS]]="SI",0,IF(Tabla2[[#This Row],[DIAS GENERADOS DEMORA]]&lt;=0,1,-1))</f>
        <v>1</v>
      </c>
      <c r="AL6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8" s="6"/>
      <c r="AN68" s="8">
        <v>45931</v>
      </c>
      <c r="AO68" s="7"/>
      <c r="AP68" s="6"/>
      <c r="AQ68" s="9"/>
      <c r="AR68" s="8"/>
      <c r="AS68" s="15">
        <f>+Tabla2[[#This Row],[FECHA ATRAQUE]]-Tabla2[[#This Row],[ARRIBO A TRANSBORDO]]+1</f>
        <v>45966</v>
      </c>
      <c r="AT68" s="6"/>
      <c r="AU68" s="6"/>
      <c r="AV68" s="6"/>
      <c r="AW68" s="6"/>
      <c r="AX68" s="11">
        <v>-168</v>
      </c>
    </row>
    <row r="69" spans="1:50" ht="24" x14ac:dyDescent="0.25">
      <c r="A69" s="95"/>
      <c r="B69" s="159" t="s">
        <v>567</v>
      </c>
      <c r="C69" s="160" t="s">
        <v>6</v>
      </c>
      <c r="D69" s="41"/>
      <c r="E69" s="6"/>
      <c r="F69" s="6"/>
      <c r="G69" s="6" t="s">
        <v>143</v>
      </c>
      <c r="H69" s="14" t="s">
        <v>290</v>
      </c>
      <c r="I69" s="5" t="s">
        <v>577</v>
      </c>
      <c r="J69" s="5" t="s">
        <v>578</v>
      </c>
      <c r="K69" s="4" t="s">
        <v>579</v>
      </c>
      <c r="L69" s="5">
        <v>2</v>
      </c>
      <c r="M69" s="4" t="s">
        <v>28</v>
      </c>
      <c r="N69" s="4" t="s">
        <v>32</v>
      </c>
      <c r="O69" s="6"/>
      <c r="P69" s="4" t="s">
        <v>9</v>
      </c>
      <c r="Q69" s="4" t="s">
        <v>9</v>
      </c>
      <c r="R69" s="6"/>
      <c r="S69" s="137" t="s">
        <v>546</v>
      </c>
      <c r="T69" s="163">
        <v>45965</v>
      </c>
      <c r="U69" s="87"/>
      <c r="V69" s="57"/>
      <c r="W69" s="4"/>
      <c r="X69" s="2"/>
      <c r="Y69" s="2"/>
      <c r="Z69" s="1"/>
      <c r="AA69" s="5"/>
      <c r="AB69" s="121"/>
      <c r="AC69" s="6"/>
      <c r="AD69" s="15"/>
      <c r="AE69" s="6"/>
      <c r="AF69" s="1">
        <f ca="1">IF(Tabla2[[#This Row],[FACTURACION ALMACENAJE]]="SI",0,IF(Tabla2[[#This Row],[DIAS GENERADOS ALMACENAJE]]&lt;=0,1,-1))</f>
        <v>1</v>
      </c>
      <c r="AG6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69" s="6"/>
      <c r="AI69" s="15"/>
      <c r="AJ69" s="6"/>
      <c r="AK69" s="1">
        <f ca="1">IF(Tabla2[[#This Row],[FACTURACION DEMORAS]]="SI",0,IF(Tabla2[[#This Row],[DIAS GENERADOS DEMORA]]&lt;=0,1,-1))</f>
        <v>1</v>
      </c>
      <c r="AL6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69" s="6"/>
      <c r="AN69" s="8">
        <v>45923</v>
      </c>
      <c r="AO69" s="7"/>
      <c r="AP69" s="6"/>
      <c r="AQ69" s="9"/>
      <c r="AR69" s="8"/>
      <c r="AS69" s="15">
        <f>+Tabla2[[#This Row],[FECHA ATRAQUE]]-Tabla2[[#This Row],[ARRIBO A TRANSBORDO]]+1</f>
        <v>45966</v>
      </c>
      <c r="AT69" s="6"/>
      <c r="AU69" s="6"/>
      <c r="AV69" s="6"/>
      <c r="AW69" s="6"/>
      <c r="AX69" s="11">
        <f ca="1">Tabla2[[#This Row],[FECHA ATRAQUE]]-TODAY()</f>
        <v>24</v>
      </c>
    </row>
    <row r="70" spans="1:50" ht="24" x14ac:dyDescent="0.25">
      <c r="A70" s="158" t="s">
        <v>566</v>
      </c>
      <c r="B70" s="159" t="s">
        <v>555</v>
      </c>
      <c r="C70" s="160" t="s">
        <v>6</v>
      </c>
      <c r="D70" s="41"/>
      <c r="E70" s="6"/>
      <c r="F70" s="6"/>
      <c r="G70" s="6" t="s">
        <v>143</v>
      </c>
      <c r="H70" s="14" t="s">
        <v>290</v>
      </c>
      <c r="I70" s="5" t="s">
        <v>559</v>
      </c>
      <c r="J70" s="5" t="s">
        <v>556</v>
      </c>
      <c r="K70" s="4" t="s">
        <v>557</v>
      </c>
      <c r="L70" s="5">
        <v>1</v>
      </c>
      <c r="M70" s="4" t="s">
        <v>28</v>
      </c>
      <c r="N70" s="4" t="s">
        <v>32</v>
      </c>
      <c r="O70" s="6"/>
      <c r="P70" s="4" t="s">
        <v>9</v>
      </c>
      <c r="Q70" s="4" t="s">
        <v>9</v>
      </c>
      <c r="R70" s="6"/>
      <c r="S70" s="137" t="s">
        <v>558</v>
      </c>
      <c r="T70" s="163">
        <v>45976</v>
      </c>
      <c r="U70" s="87"/>
      <c r="V70" s="57"/>
      <c r="W70" s="4"/>
      <c r="X70" s="2"/>
      <c r="Y70" s="2"/>
      <c r="Z70" s="1"/>
      <c r="AA70" s="5"/>
      <c r="AB70" s="121"/>
      <c r="AC70" s="6"/>
      <c r="AD70" s="15"/>
      <c r="AE70" s="6"/>
      <c r="AF70" s="1">
        <f ca="1">IF(Tabla2[[#This Row],[FACTURACION ALMACENAJE]]="SI",0,IF(Tabla2[[#This Row],[DIAS GENERADOS ALMACENAJE]]&lt;=0,1,-1))</f>
        <v>1</v>
      </c>
      <c r="AG7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70" s="6"/>
      <c r="AI70" s="15"/>
      <c r="AJ70" s="6"/>
      <c r="AK70" s="1">
        <f ca="1">IF(Tabla2[[#This Row],[FACTURACION DEMORAS]]="SI",0,IF(Tabla2[[#This Row],[DIAS GENERADOS DEMORA]]&lt;=0,1,-1))</f>
        <v>1</v>
      </c>
      <c r="AL7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70" s="6"/>
      <c r="AN70" s="8">
        <v>45924</v>
      </c>
      <c r="AO70" s="7"/>
      <c r="AP70" s="6"/>
      <c r="AQ70" s="9"/>
      <c r="AR70" s="8"/>
      <c r="AS70" s="15">
        <f>+Tabla2[[#This Row],[FECHA ATRAQUE]]-Tabla2[[#This Row],[ARRIBO A TRANSBORDO]]+1</f>
        <v>45977</v>
      </c>
      <c r="AT70" s="6"/>
      <c r="AU70" s="6"/>
      <c r="AV70" s="6"/>
      <c r="AW70" s="6"/>
      <c r="AX70" s="11">
        <f ca="1">Tabla2[[#This Row],[FECHA ATRAQUE]]-TODAY()</f>
        <v>35</v>
      </c>
    </row>
    <row r="71" spans="1:50" ht="36" x14ac:dyDescent="0.25">
      <c r="A71" s="157" t="s">
        <v>582</v>
      </c>
      <c r="B71" s="159" t="s">
        <v>542</v>
      </c>
      <c r="C71" s="160" t="s">
        <v>6</v>
      </c>
      <c r="D71" s="41"/>
      <c r="E71" s="6"/>
      <c r="F71" s="6"/>
      <c r="G71" s="6" t="s">
        <v>143</v>
      </c>
      <c r="H71" s="14" t="s">
        <v>290</v>
      </c>
      <c r="I71" s="5" t="s">
        <v>543</v>
      </c>
      <c r="J71" s="5">
        <v>258609914</v>
      </c>
      <c r="K71" s="4" t="s">
        <v>544</v>
      </c>
      <c r="L71" s="5">
        <v>1</v>
      </c>
      <c r="M71" s="4" t="s">
        <v>28</v>
      </c>
      <c r="N71" s="4" t="s">
        <v>65</v>
      </c>
      <c r="O71" s="6">
        <v>45936</v>
      </c>
      <c r="P71" s="4" t="s">
        <v>9</v>
      </c>
      <c r="Q71" s="4" t="s">
        <v>9</v>
      </c>
      <c r="R71" s="6"/>
      <c r="S71" s="137" t="s">
        <v>545</v>
      </c>
      <c r="T71" s="163">
        <v>45978</v>
      </c>
      <c r="U71" s="87"/>
      <c r="V71" s="57"/>
      <c r="W71" s="4"/>
      <c r="X71" s="2"/>
      <c r="Y71" s="2"/>
      <c r="Z71" s="1"/>
      <c r="AA71" s="5"/>
      <c r="AB71" s="121"/>
      <c r="AC71" s="6"/>
      <c r="AD71" s="15"/>
      <c r="AE71" s="6"/>
      <c r="AF71" s="1">
        <f ca="1">IF(Tabla2[[#This Row],[FACTURACION ALMACENAJE]]="SI",0,IF(Tabla2[[#This Row],[DIAS GENERADOS ALMACENAJE]]&lt;=0,1,-1))</f>
        <v>1</v>
      </c>
      <c r="AG7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71" s="6"/>
      <c r="AI71" s="15"/>
      <c r="AJ71" s="6"/>
      <c r="AK71" s="1">
        <f ca="1">IF(Tabla2[[#This Row],[FACTURACION DEMORAS]]="SI",0,IF(Tabla2[[#This Row],[DIAS GENERADOS DEMORA]]&lt;=0,1,-1))</f>
        <v>1</v>
      </c>
      <c r="AL7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71" s="6"/>
      <c r="AN71" s="8">
        <v>45931</v>
      </c>
      <c r="AO71" s="7"/>
      <c r="AP71" s="6"/>
      <c r="AQ71" s="9"/>
      <c r="AR71" s="8"/>
      <c r="AS71" s="15">
        <f>+Tabla2[[#This Row],[FECHA ATRAQUE]]-Tabla2[[#This Row],[ARRIBO A TRANSBORDO]]+1</f>
        <v>45979</v>
      </c>
      <c r="AT71" s="6"/>
      <c r="AU71" s="6"/>
      <c r="AV71" s="6"/>
      <c r="AW71" s="6"/>
      <c r="AX71" s="11">
        <v>-168</v>
      </c>
    </row>
    <row r="72" spans="1:50" ht="24" x14ac:dyDescent="0.25">
      <c r="A72" s="95"/>
      <c r="B72" s="40" t="s">
        <v>584</v>
      </c>
      <c r="C72" s="4" t="s">
        <v>6</v>
      </c>
      <c r="D72" s="41"/>
      <c r="E72" s="6"/>
      <c r="F72" s="6"/>
      <c r="G72" s="6" t="s">
        <v>143</v>
      </c>
      <c r="H72" s="14" t="s">
        <v>290</v>
      </c>
      <c r="I72" s="5"/>
      <c r="J72" s="5"/>
      <c r="K72" s="4"/>
      <c r="L72" s="5"/>
      <c r="M72" s="4"/>
      <c r="N72" s="4"/>
      <c r="O72" s="6"/>
      <c r="P72" s="4"/>
      <c r="Q72" s="4"/>
      <c r="R72" s="6"/>
      <c r="S72" s="137"/>
      <c r="T72" s="161"/>
      <c r="U72" s="87"/>
      <c r="V72" s="57"/>
      <c r="W72" s="4"/>
      <c r="X72" s="2"/>
      <c r="Y72" s="2"/>
      <c r="Z72" s="1"/>
      <c r="AA72" s="5"/>
      <c r="AB72" s="121"/>
      <c r="AC72" s="6"/>
      <c r="AD72" s="15"/>
      <c r="AE72" s="6"/>
      <c r="AF72" s="1">
        <f ca="1">IF(Tabla2[[#This Row],[FACTURACION ALMACENAJE]]="SI",0,IF(Tabla2[[#This Row],[DIAS GENERADOS ALMACENAJE]]&lt;=0,1,-1))</f>
        <v>1</v>
      </c>
      <c r="AG7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72" s="6"/>
      <c r="AI72" s="15"/>
      <c r="AJ72" s="6"/>
      <c r="AK72" s="1">
        <f ca="1">IF(Tabla2[[#This Row],[FACTURACION DEMORAS]]="SI",0,IF(Tabla2[[#This Row],[DIAS GENERADOS DEMORA]]&lt;=0,1,-1))</f>
        <v>1</v>
      </c>
      <c r="AL7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72" s="6"/>
      <c r="AN72" s="8"/>
      <c r="AO72" s="7"/>
      <c r="AP72" s="6"/>
      <c r="AQ72" s="9"/>
      <c r="AR72" s="8"/>
      <c r="AS72" s="15">
        <f>+Tabla2[[#This Row],[FECHA ATRAQUE]]-Tabla2[[#This Row],[ARRIBO A TRANSBORDO]]+1</f>
        <v>1</v>
      </c>
      <c r="AT72" s="6"/>
      <c r="AU72" s="6"/>
      <c r="AV72" s="6"/>
      <c r="AW72" s="6"/>
      <c r="AX72" s="11">
        <f ca="1">Tabla2[[#This Row],[FECHA ATRAQUE]]-TODAY()</f>
        <v>-45941</v>
      </c>
    </row>
    <row r="73" spans="1:50" ht="24" x14ac:dyDescent="0.25">
      <c r="A73" s="95"/>
      <c r="B73" s="40" t="s">
        <v>585</v>
      </c>
      <c r="C73" s="4" t="s">
        <v>6</v>
      </c>
      <c r="D73" s="41"/>
      <c r="E73" s="6"/>
      <c r="F73" s="6"/>
      <c r="G73" s="6" t="s">
        <v>143</v>
      </c>
      <c r="H73" s="14" t="s">
        <v>290</v>
      </c>
      <c r="I73" s="5"/>
      <c r="J73" s="5"/>
      <c r="K73" s="4"/>
      <c r="L73" s="5"/>
      <c r="M73" s="4"/>
      <c r="N73" s="4"/>
      <c r="O73" s="6"/>
      <c r="P73" s="4"/>
      <c r="Q73" s="4"/>
      <c r="R73" s="6"/>
      <c r="S73" s="137"/>
      <c r="T73" s="161"/>
      <c r="U73" s="87"/>
      <c r="V73" s="57"/>
      <c r="W73" s="4"/>
      <c r="X73" s="2"/>
      <c r="Y73" s="2"/>
      <c r="Z73" s="1"/>
      <c r="AA73" s="5"/>
      <c r="AB73" s="121"/>
      <c r="AC73" s="6"/>
      <c r="AD73" s="15"/>
      <c r="AE73" s="6"/>
      <c r="AF73" s="1">
        <f ca="1">IF(Tabla2[[#This Row],[FACTURACION ALMACENAJE]]="SI",0,IF(Tabla2[[#This Row],[DIAS GENERADOS ALMACENAJE]]&lt;=0,1,-1))</f>
        <v>1</v>
      </c>
      <c r="AG7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73" s="6"/>
      <c r="AI73" s="15"/>
      <c r="AJ73" s="6"/>
      <c r="AK73" s="1">
        <f ca="1">IF(Tabla2[[#This Row],[FACTURACION DEMORAS]]="SI",0,IF(Tabla2[[#This Row],[DIAS GENERADOS DEMORA]]&lt;=0,1,-1))</f>
        <v>1</v>
      </c>
      <c r="AL7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73" s="6"/>
      <c r="AN73" s="8"/>
      <c r="AO73" s="7"/>
      <c r="AP73" s="6"/>
      <c r="AQ73" s="9"/>
      <c r="AR73" s="8"/>
      <c r="AS73" s="15">
        <f>+Tabla2[[#This Row],[FECHA ATRAQUE]]-Tabla2[[#This Row],[ARRIBO A TRANSBORDO]]+1</f>
        <v>1</v>
      </c>
      <c r="AT73" s="6"/>
      <c r="AU73" s="6"/>
      <c r="AV73" s="6"/>
      <c r="AW73" s="6"/>
      <c r="AX73" s="11">
        <f ca="1">Tabla2[[#This Row],[FECHA ATRAQUE]]-TODAY()</f>
        <v>-45941</v>
      </c>
    </row>
    <row r="74" spans="1:50" x14ac:dyDescent="0.25">
      <c r="A74" s="91"/>
      <c r="B74" s="68"/>
      <c r="C74" s="76"/>
      <c r="D74" s="67"/>
      <c r="E74" s="59"/>
      <c r="F74" s="59"/>
      <c r="G74" s="59"/>
      <c r="H74" s="61"/>
      <c r="I74" s="60"/>
      <c r="J74" s="60"/>
      <c r="K74" s="60"/>
      <c r="L74" s="60"/>
      <c r="M74" s="60"/>
      <c r="N74" s="60"/>
      <c r="O74" s="59"/>
      <c r="P74" s="61"/>
      <c r="Q74" s="61"/>
      <c r="R74" s="59"/>
      <c r="S74" s="138"/>
      <c r="T74" s="134"/>
      <c r="U74" s="139"/>
      <c r="V74" s="135"/>
      <c r="W74" s="91"/>
      <c r="X74" s="62"/>
      <c r="Y74" s="62"/>
      <c r="Z74" s="60"/>
      <c r="AA74" s="60"/>
      <c r="AB74" s="60"/>
      <c r="AC74" s="59"/>
      <c r="AD74" s="59"/>
      <c r="AE74" s="59"/>
      <c r="AF74" s="61">
        <f ca="1">IF(Tabla2[[#This Row],[FACTURACION ALMACENAJE]]="SI",0,IF(Tabla2[[#This Row],[DIAS GENERADOS ALMACENAJE]]&lt;=0,1,-1))</f>
        <v>1</v>
      </c>
      <c r="AG74"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74" s="59"/>
      <c r="AI74" s="59"/>
      <c r="AJ74" s="59"/>
      <c r="AK74" s="61">
        <f ca="1">IF(Tabla2[[#This Row],[FACTURACION DEMORAS]]="SI",0,IF(Tabla2[[#This Row],[DIAS GENERADOS DEMORA]]&lt;=0,1,-1))</f>
        <v>1</v>
      </c>
      <c r="AL74" s="79">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74" s="59"/>
      <c r="AN74" s="65"/>
      <c r="AO74" s="63"/>
      <c r="AP74" s="59"/>
      <c r="AQ74" s="64"/>
      <c r="AR74" s="65"/>
      <c r="AS74" s="136">
        <f>+Tabla2[[#This Row],[FECHA ATRAQUE]]-Tabla2[[#This Row],[ARRIBO A TRANSBORDO]]+1</f>
        <v>1</v>
      </c>
      <c r="AT74" s="59"/>
      <c r="AU74" s="59"/>
      <c r="AV74" s="59"/>
      <c r="AW74" s="59"/>
      <c r="AX74" s="12">
        <f ca="1">Tabla2[[#This Row],[FECHA ATRAQUE]]-TODAY()</f>
        <v>-45941</v>
      </c>
    </row>
  </sheetData>
  <mergeCells count="3">
    <mergeCell ref="A1:V1"/>
    <mergeCell ref="W1:AC1"/>
    <mergeCell ref="AD1:AM1"/>
  </mergeCells>
  <phoneticPr fontId="7" type="noConversion"/>
  <conditionalFormatting sqref="B1:B30 B32:B1048576">
    <cfRule type="duplicateValues" dxfId="39" priority="9"/>
  </conditionalFormatting>
  <conditionalFormatting sqref="B3:B29">
    <cfRule type="duplicateValues" dxfId="38" priority="112"/>
  </conditionalFormatting>
  <conditionalFormatting sqref="B3:B30 B32:B1048576">
    <cfRule type="duplicateValues" dxfId="37" priority="20"/>
  </conditionalFormatting>
  <conditionalFormatting sqref="B14">
    <cfRule type="duplicateValues" dxfId="36" priority="33"/>
    <cfRule type="duplicateValues" dxfId="35" priority="34"/>
  </conditionalFormatting>
  <conditionalFormatting sqref="B23">
    <cfRule type="duplicateValues" dxfId="34" priority="118"/>
    <cfRule type="duplicateValues" dxfId="33" priority="119"/>
  </conditionalFormatting>
  <conditionalFormatting sqref="B24:B26">
    <cfRule type="duplicateValues" dxfId="32" priority="120"/>
    <cfRule type="duplicateValues" dxfId="31" priority="121"/>
    <cfRule type="duplicateValues" dxfId="30" priority="122"/>
    <cfRule type="duplicateValues" dxfId="29" priority="123"/>
    <cfRule type="duplicateValues" dxfId="28" priority="124"/>
  </conditionalFormatting>
  <conditionalFormatting sqref="B27:B30 B18:B23 B32:B41">
    <cfRule type="duplicateValues" dxfId="27" priority="110"/>
    <cfRule type="duplicateValues" dxfId="26" priority="111"/>
  </conditionalFormatting>
  <dataValidations count="6">
    <dataValidation type="list" allowBlank="1" showInputMessage="1" showErrorMessage="1" sqref="C1 C3:C1048576" xr:uid="{1EB58880-792B-47E3-8280-65A071CB3540}">
      <formula1>ESTATUS</formula1>
    </dataValidation>
    <dataValidation type="list" allowBlank="1" showInputMessage="1" showErrorMessage="1" sqref="M1 M3:M30 M32:M1048576" xr:uid="{056C0429-2F9F-4041-BAB9-5C73B56059C6}">
      <formula1>TIPO_DE_EMBARQUE</formula1>
    </dataValidation>
    <dataValidation type="list" allowBlank="1" showInputMessage="1" showErrorMessage="1" sqref="N1 N3:N30 N32:N1048576" xr:uid="{FA3B5803-CB70-43BE-B3F4-7F837D91EA16}">
      <formula1>NAVIERA__Destino</formula1>
    </dataValidation>
    <dataValidation type="list" allowBlank="1" showInputMessage="1" showErrorMessage="1" sqref="P1 P3:P30 P32:P59 Q60:Q61 P62:P1048576" xr:uid="{B3802CC3-A057-40E4-9E60-7F55A7F0391C}">
      <formula1>PUERTO_DE_ARRIBO_PAIS</formula1>
    </dataValidation>
    <dataValidation type="list" allowBlank="1" showInputMessage="1" showErrorMessage="1" sqref="Q1 Q3:Q59 Q62:Q1048576 R60:R61" xr:uid="{39039B81-BD4E-4BE2-9B5F-8EA0E266F8FE}">
      <formula1>DESTINO_FINAL_DE_EMBARQUE</formula1>
    </dataValidation>
    <dataValidation type="list" allowBlank="1" showInputMessage="1" showErrorMessage="1" sqref="AQ32:AQ1048576 AQ3:AQ30" xr:uid="{9ADDF435-D675-4017-8964-36D1D23FBC56}">
      <formula1>PUERTO_DE_TRANSBORDO</formula1>
    </dataValidation>
  </dataValidations>
  <pageMargins left="0.7" right="0.7" top="0.75" bottom="0.75" header="0.3" footer="0.3"/>
  <pageSetup paperSize="9" orientation="portrait"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41" id="{59B906A3-A073-4661-B3BD-5ECA64F202BA}">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T2</xm:sqref>
        </x14:conditionalFormatting>
        <x14:conditionalFormatting xmlns:xm="http://schemas.microsoft.com/office/excel/2006/main">
          <x14:cfRule type="iconSet" priority="129" id="{4FDB6B64-5671-4397-AC2F-00E2B4FD7106}">
            <x14:iconSet showValue="0" custom="1">
              <x14:cfvo type="percent">
                <xm:f>0</xm:f>
              </x14:cfvo>
              <x14:cfvo type="num">
                <xm:f>0</xm:f>
              </x14:cfvo>
              <x14:cfvo type="num" gte="0">
                <xm:f>0</xm:f>
              </x14:cfvo>
              <x14:cfIcon iconSet="3TrafficLights1" iconId="0"/>
              <x14:cfIcon iconSet="5Quarters" iconId="0"/>
              <x14:cfIcon iconSet="3TrafficLights1" iconId="2"/>
            </x14:iconSet>
          </x14:cfRule>
          <x14:cfRule type="iconSet" priority="130" id="{C8B8FE31-34EE-44FC-8F87-3266C6BC23F7}">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W3:W74</xm:sqref>
        </x14:conditionalFormatting>
        <x14:conditionalFormatting xmlns:xm="http://schemas.microsoft.com/office/excel/2006/main">
          <x14:cfRule type="iconSet" priority="133" id="{D57D76DF-FB24-4F87-8092-114F6DF90B2D}">
            <x14:iconSet showValue="0" custom="1">
              <x14:cfvo type="percent">
                <xm:f>0</xm:f>
              </x14:cfvo>
              <x14:cfvo type="num">
                <xm:f>0</xm:f>
              </x14:cfvo>
              <x14:cfvo type="num" gte="0">
                <xm:f>0</xm:f>
              </x14:cfvo>
              <x14:cfIcon iconSet="3TrafficLights1" iconId="0"/>
              <x14:cfIcon iconSet="5Quarters" iconId="0"/>
              <x14:cfIcon iconSet="3TrafficLights1" iconId="2"/>
            </x14:iconSet>
          </x14:cfRule>
          <x14:cfRule type="iconSet" priority="134" id="{F122E340-A8CD-4F46-AEC4-50DE4E763068}">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Z3:Z74</xm:sqref>
        </x14:conditionalFormatting>
        <x14:conditionalFormatting xmlns:xm="http://schemas.microsoft.com/office/excel/2006/main">
          <x14:cfRule type="iconSet" priority="96" id="{CC245635-26F0-4EC8-8225-33D3C1C1FD0F}">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AF3:AF30 AF32:AF60</xm:sqref>
        </x14:conditionalFormatting>
        <x14:conditionalFormatting xmlns:xm="http://schemas.microsoft.com/office/excel/2006/main">
          <x14:cfRule type="iconSet" priority="5" id="{84A6C0D2-312A-4588-BEFE-B8C1B769A580}">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AF31</xm:sqref>
        </x14:conditionalFormatting>
        <x14:conditionalFormatting xmlns:xm="http://schemas.microsoft.com/office/excel/2006/main">
          <x14:cfRule type="iconSet" priority="1" id="{6410ADAD-FE53-4A77-93FB-B60DCB3183B8}">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AF61:AF73</xm:sqref>
        </x14:conditionalFormatting>
        <x14:conditionalFormatting xmlns:xm="http://schemas.microsoft.com/office/excel/2006/main">
          <x14:cfRule type="iconSet" priority="98" id="{05EA48D3-5915-4F19-B12B-A2613FF30AE9}">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AK3:AK30 AK32:AK60</xm:sqref>
        </x14:conditionalFormatting>
        <x14:conditionalFormatting xmlns:xm="http://schemas.microsoft.com/office/excel/2006/main">
          <x14:cfRule type="iconSet" priority="6" id="{9A79BF5B-C15B-41AF-A998-81CE5A96604D}">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AK31</xm:sqref>
        </x14:conditionalFormatting>
        <x14:conditionalFormatting xmlns:xm="http://schemas.microsoft.com/office/excel/2006/main">
          <x14:cfRule type="iconSet" priority="2" id="{683C41A1-F4EE-4A19-9E1D-63DED8028BDA}">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AK61:AK73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C70A-C386-4DA5-9553-4840480C5826}">
  <dimension ref="B4:C14"/>
  <sheetViews>
    <sheetView showGridLines="0" workbookViewId="0">
      <selection activeCell="B5" sqref="B5:C14"/>
    </sheetView>
  </sheetViews>
  <sheetFormatPr baseColWidth="10" defaultRowHeight="14.4" x14ac:dyDescent="0.3"/>
  <cols>
    <col min="2" max="2" width="33.21875" customWidth="1"/>
    <col min="3" max="3" width="94.109375" customWidth="1"/>
  </cols>
  <sheetData>
    <row r="4" spans="2:3" ht="15" thickBot="1" x14ac:dyDescent="0.35"/>
    <row r="5" spans="2:3" ht="25.05" customHeight="1" thickBot="1" x14ac:dyDescent="0.35">
      <c r="B5" s="184" t="s">
        <v>593</v>
      </c>
      <c r="C5" s="185" t="s">
        <v>594</v>
      </c>
    </row>
    <row r="6" spans="2:3" ht="25.05" customHeight="1" thickBot="1" x14ac:dyDescent="0.35">
      <c r="B6" s="184" t="s">
        <v>595</v>
      </c>
      <c r="C6" s="185" t="s">
        <v>341</v>
      </c>
    </row>
    <row r="7" spans="2:3" ht="25.05" customHeight="1" thickBot="1" x14ac:dyDescent="0.35">
      <c r="B7" s="184" t="s">
        <v>596</v>
      </c>
      <c r="C7" s="185" t="s">
        <v>597</v>
      </c>
    </row>
    <row r="8" spans="2:3" ht="25.05" customHeight="1" thickBot="1" x14ac:dyDescent="0.35">
      <c r="B8" s="199" t="s">
        <v>598</v>
      </c>
      <c r="C8" s="185" t="s">
        <v>603</v>
      </c>
    </row>
    <row r="9" spans="2:3" ht="25.05" customHeight="1" thickBot="1" x14ac:dyDescent="0.35">
      <c r="B9" s="199"/>
      <c r="C9" s="185" t="s">
        <v>604</v>
      </c>
    </row>
    <row r="10" spans="2:3" ht="25.05" customHeight="1" thickBot="1" x14ac:dyDescent="0.35">
      <c r="B10" s="199" t="s">
        <v>599</v>
      </c>
      <c r="C10" s="185" t="s">
        <v>605</v>
      </c>
    </row>
    <row r="11" spans="2:3" ht="25.05" customHeight="1" thickBot="1" x14ac:dyDescent="0.35">
      <c r="B11" s="199"/>
      <c r="C11" s="185" t="s">
        <v>600</v>
      </c>
    </row>
    <row r="12" spans="2:3" ht="25.05" customHeight="1" thickBot="1" x14ac:dyDescent="0.35">
      <c r="B12" s="199"/>
      <c r="C12" s="186"/>
    </row>
    <row r="13" spans="2:3" ht="25.05" customHeight="1" thickBot="1" x14ac:dyDescent="0.35">
      <c r="B13" s="199"/>
      <c r="C13" s="185" t="s">
        <v>601</v>
      </c>
    </row>
    <row r="14" spans="2:3" ht="25.05" customHeight="1" thickBot="1" x14ac:dyDescent="0.35">
      <c r="B14" s="184" t="s">
        <v>602</v>
      </c>
      <c r="C14" s="185" t="s">
        <v>606</v>
      </c>
    </row>
  </sheetData>
  <mergeCells count="2">
    <mergeCell ref="B8:B9"/>
    <mergeCell ref="B10: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F447E-A988-468F-A411-462D555ECB88}">
  <dimension ref="A7:I18"/>
  <sheetViews>
    <sheetView workbookViewId="0">
      <selection activeCell="G21" sqref="G21"/>
    </sheetView>
  </sheetViews>
  <sheetFormatPr baseColWidth="10" defaultRowHeight="14.4" x14ac:dyDescent="0.3"/>
  <cols>
    <col min="1" max="1" width="10.5546875" customWidth="1"/>
    <col min="2" max="2" width="10.33203125" customWidth="1"/>
    <col min="3" max="3" width="37" customWidth="1"/>
    <col min="4" max="4" width="17.88671875" customWidth="1"/>
    <col min="5" max="5" width="16.109375" customWidth="1"/>
    <col min="6" max="6" width="14.5546875" customWidth="1"/>
    <col min="7" max="7" width="23.33203125" customWidth="1"/>
    <col min="8" max="8" width="33.109375" customWidth="1"/>
    <col min="9" max="9" width="14.21875" bestFit="1" customWidth="1"/>
  </cols>
  <sheetData>
    <row r="7" spans="1:9" x14ac:dyDescent="0.3">
      <c r="A7" s="19" t="s">
        <v>105</v>
      </c>
      <c r="B7" s="20" t="s">
        <v>0</v>
      </c>
      <c r="C7" s="20" t="s">
        <v>109</v>
      </c>
      <c r="D7" s="20" t="s">
        <v>110</v>
      </c>
      <c r="E7" s="20" t="s">
        <v>111</v>
      </c>
      <c r="F7" s="20" t="s">
        <v>112</v>
      </c>
      <c r="G7" s="20" t="s">
        <v>115</v>
      </c>
      <c r="H7" s="20" t="s">
        <v>118</v>
      </c>
      <c r="I7" s="21" t="s">
        <v>207</v>
      </c>
    </row>
    <row r="8" spans="1:9" x14ac:dyDescent="0.3">
      <c r="A8" s="172" t="s">
        <v>301</v>
      </c>
      <c r="B8" s="9" t="s">
        <v>6</v>
      </c>
      <c r="C8" s="10" t="s">
        <v>290</v>
      </c>
      <c r="D8" s="7" t="s">
        <v>302</v>
      </c>
      <c r="E8" s="7" t="s">
        <v>303</v>
      </c>
      <c r="F8" s="7" t="s">
        <v>304</v>
      </c>
      <c r="G8" s="9" t="s">
        <v>9</v>
      </c>
      <c r="H8" s="9" t="s">
        <v>341</v>
      </c>
      <c r="I8" s="181">
        <v>45950</v>
      </c>
    </row>
    <row r="9" spans="1:9" x14ac:dyDescent="0.3">
      <c r="A9" s="172" t="s">
        <v>305</v>
      </c>
      <c r="B9" s="9" t="s">
        <v>6</v>
      </c>
      <c r="C9" s="10" t="s">
        <v>290</v>
      </c>
      <c r="D9" s="7" t="s">
        <v>306</v>
      </c>
      <c r="E9" s="7" t="s">
        <v>307</v>
      </c>
      <c r="F9" s="9" t="s">
        <v>308</v>
      </c>
      <c r="G9" s="9" t="s">
        <v>9</v>
      </c>
      <c r="H9" s="9" t="s">
        <v>341</v>
      </c>
      <c r="I9" s="181">
        <v>45950</v>
      </c>
    </row>
    <row r="10" spans="1:9" x14ac:dyDescent="0.3">
      <c r="A10" s="172" t="s">
        <v>573</v>
      </c>
      <c r="B10" s="9" t="s">
        <v>6</v>
      </c>
      <c r="C10" s="10" t="s">
        <v>290</v>
      </c>
      <c r="D10" s="7" t="s">
        <v>576</v>
      </c>
      <c r="E10" s="7" t="s">
        <v>574</v>
      </c>
      <c r="F10" s="9" t="s">
        <v>575</v>
      </c>
      <c r="G10" s="9" t="s">
        <v>9</v>
      </c>
      <c r="H10" s="9" t="s">
        <v>341</v>
      </c>
      <c r="I10" s="181">
        <v>45950</v>
      </c>
    </row>
    <row r="11" spans="1:9" x14ac:dyDescent="0.3">
      <c r="A11" s="182" t="s">
        <v>535</v>
      </c>
      <c r="B11" s="64" t="s">
        <v>6</v>
      </c>
      <c r="C11" s="10" t="s">
        <v>290</v>
      </c>
      <c r="D11" s="63" t="s">
        <v>541</v>
      </c>
      <c r="E11" s="63" t="s">
        <v>539</v>
      </c>
      <c r="F11" s="64" t="s">
        <v>540</v>
      </c>
      <c r="G11" s="9" t="s">
        <v>9</v>
      </c>
      <c r="H11" s="137" t="s">
        <v>313</v>
      </c>
      <c r="I11" s="181">
        <v>45950</v>
      </c>
    </row>
    <row r="12" spans="1:9" x14ac:dyDescent="0.3">
      <c r="A12" s="172" t="s">
        <v>547</v>
      </c>
      <c r="B12" s="9" t="s">
        <v>6</v>
      </c>
      <c r="C12" s="10" t="s">
        <v>290</v>
      </c>
      <c r="D12" s="7" t="s">
        <v>548</v>
      </c>
      <c r="E12" s="7" t="s">
        <v>549</v>
      </c>
      <c r="F12" s="9" t="s">
        <v>550</v>
      </c>
      <c r="G12" s="9" t="s">
        <v>9</v>
      </c>
      <c r="H12" s="137" t="s">
        <v>313</v>
      </c>
      <c r="I12" s="181">
        <v>45950</v>
      </c>
    </row>
    <row r="13" spans="1:9" x14ac:dyDescent="0.3">
      <c r="A13" s="172" t="s">
        <v>551</v>
      </c>
      <c r="B13" s="9" t="s">
        <v>6</v>
      </c>
      <c r="C13" s="10" t="s">
        <v>290</v>
      </c>
      <c r="D13" s="7" t="s">
        <v>552</v>
      </c>
      <c r="E13" s="7" t="s">
        <v>554</v>
      </c>
      <c r="F13" s="9" t="s">
        <v>553</v>
      </c>
      <c r="G13" s="9" t="s">
        <v>9</v>
      </c>
      <c r="H13" s="137" t="s">
        <v>313</v>
      </c>
      <c r="I13" s="181">
        <v>45950</v>
      </c>
    </row>
    <row r="14" spans="1:9" x14ac:dyDescent="0.3">
      <c r="A14" s="172" t="s">
        <v>309</v>
      </c>
      <c r="B14" s="9" t="s">
        <v>6</v>
      </c>
      <c r="C14" s="10" t="s">
        <v>290</v>
      </c>
      <c r="D14" s="7" t="s">
        <v>310</v>
      </c>
      <c r="E14" s="7" t="s">
        <v>311</v>
      </c>
      <c r="F14" s="9" t="s">
        <v>312</v>
      </c>
      <c r="G14" s="9" t="s">
        <v>9</v>
      </c>
      <c r="H14" s="137" t="s">
        <v>313</v>
      </c>
      <c r="I14" s="181">
        <v>45950</v>
      </c>
    </row>
    <row r="15" spans="1:9" x14ac:dyDescent="0.3">
      <c r="A15" s="172" t="s">
        <v>288</v>
      </c>
      <c r="B15" s="9" t="s">
        <v>6</v>
      </c>
      <c r="C15" s="10" t="s">
        <v>290</v>
      </c>
      <c r="D15" s="7" t="s">
        <v>291</v>
      </c>
      <c r="E15" s="7" t="s">
        <v>292</v>
      </c>
      <c r="F15" s="9" t="s">
        <v>293</v>
      </c>
      <c r="G15" s="9" t="s">
        <v>9</v>
      </c>
      <c r="H15" s="137" t="s">
        <v>313</v>
      </c>
      <c r="I15" s="181">
        <v>45950</v>
      </c>
    </row>
    <row r="16" spans="1:9" x14ac:dyDescent="0.3">
      <c r="A16" s="173" t="s">
        <v>337</v>
      </c>
      <c r="B16" s="9" t="s">
        <v>6</v>
      </c>
      <c r="C16" s="10" t="s">
        <v>290</v>
      </c>
      <c r="D16" s="183" t="s">
        <v>338</v>
      </c>
      <c r="E16" s="9" t="s">
        <v>344</v>
      </c>
      <c r="F16" s="9" t="s">
        <v>339</v>
      </c>
      <c r="G16" s="9" t="s">
        <v>9</v>
      </c>
      <c r="H16" s="44" t="s">
        <v>313</v>
      </c>
      <c r="I16" s="181">
        <v>45950</v>
      </c>
    </row>
    <row r="17" spans="1:9" x14ac:dyDescent="0.3">
      <c r="A17" s="172" t="s">
        <v>324</v>
      </c>
      <c r="B17" s="9" t="s">
        <v>6</v>
      </c>
      <c r="C17" s="10" t="s">
        <v>290</v>
      </c>
      <c r="D17" s="7" t="s">
        <v>325</v>
      </c>
      <c r="E17" s="7" t="s">
        <v>326</v>
      </c>
      <c r="F17" s="9" t="s">
        <v>327</v>
      </c>
      <c r="G17" s="9" t="s">
        <v>9</v>
      </c>
      <c r="H17" s="137" t="s">
        <v>313</v>
      </c>
      <c r="I17" s="181">
        <v>45950</v>
      </c>
    </row>
    <row r="18" spans="1:9" x14ac:dyDescent="0.3">
      <c r="A18" s="172" t="s">
        <v>317</v>
      </c>
      <c r="B18" s="9" t="s">
        <v>6</v>
      </c>
      <c r="C18" s="10" t="s">
        <v>290</v>
      </c>
      <c r="D18" s="7" t="s">
        <v>319</v>
      </c>
      <c r="E18" s="7" t="s">
        <v>320</v>
      </c>
      <c r="F18" s="7" t="s">
        <v>321</v>
      </c>
      <c r="G18" s="9" t="s">
        <v>9</v>
      </c>
      <c r="H18" s="137" t="s">
        <v>313</v>
      </c>
      <c r="I18" s="181">
        <v>45950</v>
      </c>
    </row>
  </sheetData>
  <conditionalFormatting sqref="A7:A18">
    <cfRule type="duplicateValues" dxfId="25" priority="2"/>
  </conditionalFormatting>
  <conditionalFormatting sqref="A8:A18">
    <cfRule type="duplicateValues" dxfId="24" priority="1"/>
  </conditionalFormatting>
  <dataValidations count="2">
    <dataValidation type="list" allowBlank="1" showInputMessage="1" showErrorMessage="1" sqref="G8:G12 G15:G18" xr:uid="{687CAE34-FA81-4D04-B2CF-5188F73B7F4C}">
      <formula1>PUERTO_DE_ARRIBO_PAIS</formula1>
    </dataValidation>
    <dataValidation type="list" allowBlank="1" showInputMessage="1" showErrorMessage="1" sqref="B8:B18" xr:uid="{6B76A227-C5CB-43B0-8BEF-860819400970}">
      <formula1>ESTATUS</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3" id="{C194F613-2DC4-4952-B9B5-AFF1926A1F9F}">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I7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E831-7857-4C7B-BC88-D3D9B978C338}">
  <dimension ref="A4:J12"/>
  <sheetViews>
    <sheetView workbookViewId="0">
      <selection activeCell="A4" sqref="A4:A9"/>
    </sheetView>
  </sheetViews>
  <sheetFormatPr baseColWidth="10" defaultRowHeight="14.4" x14ac:dyDescent="0.3"/>
  <sheetData>
    <row r="4" spans="1:10" ht="15.6" x14ac:dyDescent="0.3">
      <c r="A4" s="175" t="s">
        <v>586</v>
      </c>
      <c r="I4" s="176">
        <v>100</v>
      </c>
      <c r="J4" t="s">
        <v>318</v>
      </c>
    </row>
    <row r="5" spans="1:10" ht="15.6" x14ac:dyDescent="0.3">
      <c r="A5" s="175" t="s">
        <v>587</v>
      </c>
      <c r="I5" s="176">
        <v>45</v>
      </c>
      <c r="J5" t="s">
        <v>318</v>
      </c>
    </row>
    <row r="6" spans="1:10" ht="15.6" x14ac:dyDescent="0.3">
      <c r="A6" s="175" t="s">
        <v>588</v>
      </c>
      <c r="I6" s="176">
        <v>29.3</v>
      </c>
      <c r="J6" t="s">
        <v>318</v>
      </c>
    </row>
    <row r="7" spans="1:10" ht="15.6" x14ac:dyDescent="0.3">
      <c r="A7" s="175" t="s">
        <v>589</v>
      </c>
      <c r="I7" s="176">
        <f>+J7*5.27%</f>
        <v>6.5506099999999998</v>
      </c>
      <c r="J7" s="177">
        <f>+I5+I6+I8</f>
        <v>124.3</v>
      </c>
    </row>
    <row r="8" spans="1:10" ht="15.6" x14ac:dyDescent="0.3">
      <c r="A8" s="175" t="s">
        <v>590</v>
      </c>
      <c r="I8" s="176">
        <v>50</v>
      </c>
    </row>
    <row r="9" spans="1:10" ht="15.6" x14ac:dyDescent="0.3">
      <c r="A9" s="175" t="s">
        <v>591</v>
      </c>
      <c r="I9" s="176">
        <v>35</v>
      </c>
    </row>
    <row r="10" spans="1:10" x14ac:dyDescent="0.3">
      <c r="H10" s="179" t="s">
        <v>592</v>
      </c>
      <c r="I10" s="178">
        <f>SUM(I4:I9)</f>
        <v>265.85061000000002</v>
      </c>
    </row>
    <row r="11" spans="1:10" x14ac:dyDescent="0.3">
      <c r="I11" s="176"/>
    </row>
    <row r="12" spans="1:10" x14ac:dyDescent="0.3">
      <c r="I12" s="17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0C902-1451-47DC-A27D-5204A69C2EB3}">
  <dimension ref="A9:J20"/>
  <sheetViews>
    <sheetView workbookViewId="0">
      <selection activeCell="A9" sqref="A9:B20"/>
    </sheetView>
  </sheetViews>
  <sheetFormatPr baseColWidth="10" defaultRowHeight="14.4" x14ac:dyDescent="0.3"/>
  <cols>
    <col min="1" max="1" width="8.33203125" bestFit="1" customWidth="1"/>
    <col min="2" max="2" width="33.5546875" bestFit="1" customWidth="1"/>
    <col min="3" max="3" width="15.21875" bestFit="1" customWidth="1"/>
    <col min="4" max="4" width="11.88671875" bestFit="1" customWidth="1"/>
    <col min="5" max="5" width="11.109375" bestFit="1" customWidth="1"/>
    <col min="6" max="6" width="10.5546875" bestFit="1" customWidth="1"/>
    <col min="7" max="7" width="13.5546875" bestFit="1" customWidth="1"/>
    <col min="8" max="8" width="13" bestFit="1" customWidth="1"/>
    <col min="9" max="9" width="28" bestFit="1" customWidth="1"/>
    <col min="10" max="10" width="14.21875" bestFit="1" customWidth="1"/>
  </cols>
  <sheetData>
    <row r="9" spans="1:10" x14ac:dyDescent="0.3">
      <c r="A9" s="19" t="s">
        <v>105</v>
      </c>
      <c r="B9" s="20" t="s">
        <v>109</v>
      </c>
      <c r="C9" s="20" t="s">
        <v>110</v>
      </c>
      <c r="D9" s="20" t="s">
        <v>111</v>
      </c>
      <c r="E9" s="20" t="s">
        <v>112</v>
      </c>
      <c r="F9" s="20" t="s">
        <v>113</v>
      </c>
      <c r="G9" s="20" t="s">
        <v>2</v>
      </c>
      <c r="H9" s="20" t="s">
        <v>114</v>
      </c>
      <c r="I9" s="20" t="s">
        <v>118</v>
      </c>
      <c r="J9" s="21" t="s">
        <v>207</v>
      </c>
    </row>
    <row r="10" spans="1:10" x14ac:dyDescent="0.3">
      <c r="A10" s="170" t="s">
        <v>301</v>
      </c>
      <c r="B10" s="166" t="s">
        <v>290</v>
      </c>
      <c r="C10" s="168" t="s">
        <v>302</v>
      </c>
      <c r="D10" s="168" t="s">
        <v>303</v>
      </c>
      <c r="E10" s="168" t="s">
        <v>304</v>
      </c>
      <c r="F10" s="168">
        <v>1</v>
      </c>
      <c r="G10" s="168" t="s">
        <v>28</v>
      </c>
      <c r="H10" s="168" t="s">
        <v>281</v>
      </c>
      <c r="I10" s="171" t="s">
        <v>341</v>
      </c>
      <c r="J10" s="163">
        <v>45940</v>
      </c>
    </row>
    <row r="11" spans="1:10" x14ac:dyDescent="0.3">
      <c r="A11" s="170" t="s">
        <v>305</v>
      </c>
      <c r="B11" s="166" t="s">
        <v>290</v>
      </c>
      <c r="C11" s="168" t="s">
        <v>306</v>
      </c>
      <c r="D11" s="168" t="s">
        <v>307</v>
      </c>
      <c r="E11" s="160" t="s">
        <v>308</v>
      </c>
      <c r="F11" s="168">
        <v>1</v>
      </c>
      <c r="G11" s="160" t="s">
        <v>28</v>
      </c>
      <c r="H11" s="168" t="s">
        <v>281</v>
      </c>
      <c r="I11" s="171" t="s">
        <v>341</v>
      </c>
      <c r="J11" s="163">
        <v>45940</v>
      </c>
    </row>
    <row r="12" spans="1:10" x14ac:dyDescent="0.3">
      <c r="A12" s="170" t="s">
        <v>573</v>
      </c>
      <c r="B12" s="166" t="s">
        <v>290</v>
      </c>
      <c r="C12" s="168" t="s">
        <v>576</v>
      </c>
      <c r="D12" s="168" t="s">
        <v>574</v>
      </c>
      <c r="E12" s="160" t="s">
        <v>575</v>
      </c>
      <c r="F12" s="168">
        <v>1</v>
      </c>
      <c r="G12" s="160" t="s">
        <v>28</v>
      </c>
      <c r="H12" s="160" t="s">
        <v>281</v>
      </c>
      <c r="I12" s="111" t="s">
        <v>341</v>
      </c>
      <c r="J12" s="163">
        <v>45941</v>
      </c>
    </row>
    <row r="13" spans="1:10" x14ac:dyDescent="0.3">
      <c r="A13" s="169" t="s">
        <v>535</v>
      </c>
      <c r="B13" s="166" t="s">
        <v>290</v>
      </c>
      <c r="C13" s="167" t="s">
        <v>541</v>
      </c>
      <c r="D13" s="167" t="s">
        <v>539</v>
      </c>
      <c r="E13" s="164" t="s">
        <v>540</v>
      </c>
      <c r="F13" s="168">
        <v>1</v>
      </c>
      <c r="G13" s="164" t="s">
        <v>28</v>
      </c>
      <c r="H13" s="164" t="s">
        <v>32</v>
      </c>
      <c r="I13" s="111" t="s">
        <v>313</v>
      </c>
      <c r="J13" s="163">
        <v>45941</v>
      </c>
    </row>
    <row r="14" spans="1:10" x14ac:dyDescent="0.3">
      <c r="A14" s="169" t="s">
        <v>547</v>
      </c>
      <c r="B14" s="166" t="s">
        <v>290</v>
      </c>
      <c r="C14" s="167" t="s">
        <v>548</v>
      </c>
      <c r="D14" s="167" t="s">
        <v>549</v>
      </c>
      <c r="E14" s="164" t="s">
        <v>550</v>
      </c>
      <c r="F14" s="168">
        <v>1</v>
      </c>
      <c r="G14" s="164" t="s">
        <v>28</v>
      </c>
      <c r="H14" s="164" t="s">
        <v>32</v>
      </c>
      <c r="I14" s="111" t="s">
        <v>313</v>
      </c>
      <c r="J14" s="163">
        <v>45941</v>
      </c>
    </row>
    <row r="15" spans="1:10" x14ac:dyDescent="0.3">
      <c r="A15" s="169" t="s">
        <v>551</v>
      </c>
      <c r="B15" s="166" t="s">
        <v>290</v>
      </c>
      <c r="C15" s="167" t="s">
        <v>552</v>
      </c>
      <c r="D15" s="167" t="s">
        <v>554</v>
      </c>
      <c r="E15" s="164" t="s">
        <v>553</v>
      </c>
      <c r="F15" s="168">
        <v>1</v>
      </c>
      <c r="G15" s="164" t="s">
        <v>28</v>
      </c>
      <c r="H15" s="164" t="s">
        <v>32</v>
      </c>
      <c r="I15" s="111" t="s">
        <v>313</v>
      </c>
      <c r="J15" s="163">
        <v>45941</v>
      </c>
    </row>
    <row r="16" spans="1:10" ht="24" x14ac:dyDescent="0.3">
      <c r="A16" s="169" t="s">
        <v>309</v>
      </c>
      <c r="B16" s="166" t="s">
        <v>290</v>
      </c>
      <c r="C16" s="167" t="s">
        <v>310</v>
      </c>
      <c r="D16" s="167" t="s">
        <v>311</v>
      </c>
      <c r="E16" s="164" t="s">
        <v>312</v>
      </c>
      <c r="F16" s="168">
        <v>1</v>
      </c>
      <c r="G16" s="164" t="s">
        <v>28</v>
      </c>
      <c r="H16" s="164" t="s">
        <v>32</v>
      </c>
      <c r="I16" s="111" t="s">
        <v>294</v>
      </c>
      <c r="J16" s="163">
        <v>45941</v>
      </c>
    </row>
    <row r="17" spans="1:10" ht="24" x14ac:dyDescent="0.3">
      <c r="A17" s="169" t="s">
        <v>288</v>
      </c>
      <c r="B17" s="166" t="s">
        <v>290</v>
      </c>
      <c r="C17" s="167" t="s">
        <v>291</v>
      </c>
      <c r="D17" s="167" t="s">
        <v>292</v>
      </c>
      <c r="E17" s="164" t="s">
        <v>293</v>
      </c>
      <c r="F17" s="168">
        <v>1</v>
      </c>
      <c r="G17" s="164" t="s">
        <v>28</v>
      </c>
      <c r="H17" s="164" t="s">
        <v>32</v>
      </c>
      <c r="I17" s="111" t="s">
        <v>294</v>
      </c>
      <c r="J17" s="163">
        <v>45941</v>
      </c>
    </row>
    <row r="18" spans="1:10" x14ac:dyDescent="0.3">
      <c r="A18" s="169" t="s">
        <v>337</v>
      </c>
      <c r="B18" s="166" t="s">
        <v>290</v>
      </c>
      <c r="C18" s="167" t="s">
        <v>338</v>
      </c>
      <c r="D18" s="167" t="s">
        <v>344</v>
      </c>
      <c r="E18" s="164" t="s">
        <v>339</v>
      </c>
      <c r="F18" s="168">
        <v>1</v>
      </c>
      <c r="G18" s="164" t="s">
        <v>28</v>
      </c>
      <c r="H18" s="164" t="s">
        <v>32</v>
      </c>
      <c r="I18" s="111" t="s">
        <v>313</v>
      </c>
      <c r="J18" s="163">
        <v>45941</v>
      </c>
    </row>
    <row r="19" spans="1:10" x14ac:dyDescent="0.3">
      <c r="A19" s="172" t="s">
        <v>324</v>
      </c>
      <c r="B19" s="14" t="s">
        <v>290</v>
      </c>
      <c r="C19" s="5" t="s">
        <v>325</v>
      </c>
      <c r="D19" s="5" t="s">
        <v>326</v>
      </c>
      <c r="E19" s="4" t="s">
        <v>327</v>
      </c>
      <c r="F19" s="5">
        <v>1</v>
      </c>
      <c r="G19" s="4" t="s">
        <v>28</v>
      </c>
      <c r="H19" s="4" t="s">
        <v>32</v>
      </c>
      <c r="I19" s="137" t="s">
        <v>313</v>
      </c>
      <c r="J19" s="165">
        <v>45941</v>
      </c>
    </row>
    <row r="20" spans="1:10" x14ac:dyDescent="0.3">
      <c r="A20" s="172" t="s">
        <v>317</v>
      </c>
      <c r="B20" s="14" t="s">
        <v>290</v>
      </c>
      <c r="C20" s="5" t="s">
        <v>319</v>
      </c>
      <c r="D20" s="5" t="s">
        <v>320</v>
      </c>
      <c r="E20" s="5" t="s">
        <v>321</v>
      </c>
      <c r="F20" s="5">
        <v>1</v>
      </c>
      <c r="G20" s="4" t="s">
        <v>28</v>
      </c>
      <c r="H20" s="4" t="s">
        <v>32</v>
      </c>
      <c r="I20" s="137" t="s">
        <v>313</v>
      </c>
      <c r="J20" s="109">
        <v>45941</v>
      </c>
    </row>
  </sheetData>
  <conditionalFormatting sqref="A9">
    <cfRule type="duplicateValues" dxfId="23" priority="1"/>
  </conditionalFormatting>
  <conditionalFormatting sqref="A10:A20">
    <cfRule type="duplicateValues" dxfId="22" priority="3"/>
    <cfRule type="duplicateValues" dxfId="21" priority="4"/>
  </conditionalFormatting>
  <dataValidations count="2">
    <dataValidation type="list" allowBlank="1" showInputMessage="1" showErrorMessage="1" sqref="H10:H20" xr:uid="{E00BAB50-27B0-40F9-AA97-39D5D00E005E}">
      <formula1>NAVIERA__Destino</formula1>
    </dataValidation>
    <dataValidation type="list" allowBlank="1" showInputMessage="1" showErrorMessage="1" sqref="G10:G20" xr:uid="{660C4E4A-120A-4321-8547-76679E3F205D}">
      <formula1>TIPO_DE_EMBARQUE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A4D81954-773A-4F40-A978-0691376D3616}">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J9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712B1-3D16-4A66-BD54-C76D7FB88965}">
  <dimension ref="A1:L8"/>
  <sheetViews>
    <sheetView showGridLines="0" zoomScale="115" zoomScaleNormal="115" workbookViewId="0">
      <selection activeCell="A3" sqref="A3"/>
    </sheetView>
  </sheetViews>
  <sheetFormatPr baseColWidth="10" defaultRowHeight="14.4" x14ac:dyDescent="0.3"/>
  <cols>
    <col min="1" max="1" width="8.44140625" bestFit="1" customWidth="1"/>
    <col min="2" max="2" width="9.6640625" customWidth="1"/>
    <col min="3" max="3" width="27.5546875" customWidth="1"/>
    <col min="4" max="4" width="35.109375" customWidth="1"/>
    <col min="5" max="5" width="15" customWidth="1"/>
    <col min="6" max="6" width="15.21875" bestFit="1" customWidth="1"/>
    <col min="7" max="7" width="10.88671875" bestFit="1" customWidth="1"/>
    <col min="8" max="8" width="17.77734375" bestFit="1" customWidth="1"/>
    <col min="9" max="9" width="26" bestFit="1" customWidth="1"/>
    <col min="10" max="10" width="11.109375" customWidth="1"/>
    <col min="11" max="11" width="11.21875" customWidth="1"/>
    <col min="12" max="12" width="12.33203125" style="146" customWidth="1"/>
  </cols>
  <sheetData>
    <row r="1" spans="1:12" s="144" customFormat="1" ht="24" x14ac:dyDescent="0.3">
      <c r="A1" s="141" t="s">
        <v>105</v>
      </c>
      <c r="B1" s="141" t="s">
        <v>0</v>
      </c>
      <c r="C1" s="141" t="s">
        <v>527</v>
      </c>
      <c r="D1" s="141" t="s">
        <v>109</v>
      </c>
      <c r="E1" s="141" t="s">
        <v>110</v>
      </c>
      <c r="F1" s="141" t="s">
        <v>111</v>
      </c>
      <c r="G1" s="141" t="s">
        <v>112</v>
      </c>
      <c r="H1" s="141" t="s">
        <v>115</v>
      </c>
      <c r="I1" s="141" t="s">
        <v>118</v>
      </c>
      <c r="J1" s="142" t="s">
        <v>207</v>
      </c>
      <c r="K1" s="141" t="s">
        <v>208</v>
      </c>
      <c r="L1" s="141" t="s">
        <v>522</v>
      </c>
    </row>
    <row r="2" spans="1:12" x14ac:dyDescent="0.3">
      <c r="A2" s="3" t="s">
        <v>314</v>
      </c>
      <c r="B2" s="4" t="s">
        <v>11</v>
      </c>
      <c r="C2" s="10" t="s">
        <v>502</v>
      </c>
      <c r="D2" s="14" t="s">
        <v>290</v>
      </c>
      <c r="E2" s="5" t="s">
        <v>315</v>
      </c>
      <c r="F2" s="5" t="s">
        <v>316</v>
      </c>
      <c r="G2" s="4" t="s">
        <v>340</v>
      </c>
      <c r="H2" s="4" t="s">
        <v>9</v>
      </c>
      <c r="I2" s="71" t="s">
        <v>381</v>
      </c>
      <c r="J2" s="87">
        <v>45928</v>
      </c>
      <c r="K2" s="87">
        <v>45930</v>
      </c>
      <c r="L2" s="145" t="s">
        <v>318</v>
      </c>
    </row>
    <row r="3" spans="1:12" x14ac:dyDescent="0.3">
      <c r="A3" s="1" t="s">
        <v>403</v>
      </c>
      <c r="B3" s="4" t="s">
        <v>11</v>
      </c>
      <c r="C3" s="10" t="s">
        <v>502</v>
      </c>
      <c r="D3" s="14" t="s">
        <v>290</v>
      </c>
      <c r="E3" s="5" t="s">
        <v>405</v>
      </c>
      <c r="F3" s="5" t="s">
        <v>404</v>
      </c>
      <c r="G3" s="5" t="s">
        <v>406</v>
      </c>
      <c r="H3" s="4" t="s">
        <v>9</v>
      </c>
      <c r="I3" s="71" t="s">
        <v>381</v>
      </c>
      <c r="J3" s="87">
        <v>45928</v>
      </c>
      <c r="K3" s="87">
        <v>45898</v>
      </c>
      <c r="L3" s="145" t="s">
        <v>318</v>
      </c>
    </row>
    <row r="4" spans="1:12" x14ac:dyDescent="0.3">
      <c r="A4" s="3" t="s">
        <v>500</v>
      </c>
      <c r="B4" s="4" t="s">
        <v>11</v>
      </c>
      <c r="C4" s="10" t="s">
        <v>502</v>
      </c>
      <c r="D4" s="14" t="s">
        <v>290</v>
      </c>
      <c r="E4" s="5" t="s">
        <v>498</v>
      </c>
      <c r="F4" s="5" t="s">
        <v>497</v>
      </c>
      <c r="G4" s="5" t="s">
        <v>499</v>
      </c>
      <c r="H4" s="4" t="s">
        <v>9</v>
      </c>
      <c r="I4" s="71" t="s">
        <v>381</v>
      </c>
      <c r="J4" s="87">
        <v>45928</v>
      </c>
      <c r="K4" s="87">
        <v>45930</v>
      </c>
      <c r="L4" s="145" t="s">
        <v>318</v>
      </c>
    </row>
    <row r="5" spans="1:12" ht="204" x14ac:dyDescent="0.3">
      <c r="A5" s="3" t="s">
        <v>349</v>
      </c>
      <c r="B5" s="4" t="s">
        <v>11</v>
      </c>
      <c r="C5" s="143" t="s">
        <v>525</v>
      </c>
      <c r="D5" s="14" t="s">
        <v>290</v>
      </c>
      <c r="E5" s="4" t="s">
        <v>523</v>
      </c>
      <c r="F5" s="5" t="s">
        <v>351</v>
      </c>
      <c r="G5" s="5" t="s">
        <v>352</v>
      </c>
      <c r="H5" s="4" t="s">
        <v>9</v>
      </c>
      <c r="I5" s="107" t="s">
        <v>408</v>
      </c>
      <c r="J5" s="87">
        <v>45928</v>
      </c>
      <c r="K5" s="87">
        <v>45930</v>
      </c>
      <c r="L5" s="145" t="s">
        <v>318</v>
      </c>
    </row>
    <row r="6" spans="1:12" x14ac:dyDescent="0.3">
      <c r="A6" s="1" t="s">
        <v>328</v>
      </c>
      <c r="B6" s="4" t="s">
        <v>11</v>
      </c>
      <c r="C6" s="143" t="s">
        <v>485</v>
      </c>
      <c r="D6" s="14" t="s">
        <v>290</v>
      </c>
      <c r="E6" s="5" t="s">
        <v>329</v>
      </c>
      <c r="F6" s="5" t="s">
        <v>330</v>
      </c>
      <c r="G6" s="5" t="s">
        <v>331</v>
      </c>
      <c r="H6" s="4" t="s">
        <v>9</v>
      </c>
      <c r="I6" s="107" t="s">
        <v>408</v>
      </c>
      <c r="J6" s="87">
        <v>45928</v>
      </c>
      <c r="K6" s="87">
        <v>45929</v>
      </c>
      <c r="L6" s="145" t="s">
        <v>318</v>
      </c>
    </row>
    <row r="7" spans="1:12" ht="132" x14ac:dyDescent="0.3">
      <c r="A7" s="3" t="s">
        <v>333</v>
      </c>
      <c r="B7" s="4" t="s">
        <v>11</v>
      </c>
      <c r="C7" s="143" t="s">
        <v>526</v>
      </c>
      <c r="D7" s="14" t="s">
        <v>290</v>
      </c>
      <c r="E7" s="4" t="s">
        <v>524</v>
      </c>
      <c r="F7" s="5" t="s">
        <v>335</v>
      </c>
      <c r="G7" s="5" t="s">
        <v>336</v>
      </c>
      <c r="H7" s="4" t="s">
        <v>9</v>
      </c>
      <c r="I7" s="107" t="s">
        <v>408</v>
      </c>
      <c r="J7" s="87">
        <v>45928</v>
      </c>
      <c r="K7" s="87">
        <v>45930</v>
      </c>
      <c r="L7" s="145" t="s">
        <v>318</v>
      </c>
    </row>
    <row r="8" spans="1:12" x14ac:dyDescent="0.3">
      <c r="A8" s="3" t="s">
        <v>409</v>
      </c>
      <c r="B8" s="4" t="s">
        <v>11</v>
      </c>
      <c r="C8" s="143" t="s">
        <v>501</v>
      </c>
      <c r="D8" s="14" t="s">
        <v>290</v>
      </c>
      <c r="E8" s="5" t="s">
        <v>412</v>
      </c>
      <c r="F8" s="5" t="s">
        <v>410</v>
      </c>
      <c r="G8" s="5" t="s">
        <v>411</v>
      </c>
      <c r="H8" s="4" t="s">
        <v>9</v>
      </c>
      <c r="I8" s="107" t="s">
        <v>408</v>
      </c>
      <c r="J8" s="87">
        <v>45928</v>
      </c>
      <c r="K8" s="87">
        <v>45930</v>
      </c>
      <c r="L8" s="145" t="s">
        <v>318</v>
      </c>
    </row>
  </sheetData>
  <conditionalFormatting sqref="A1:A8">
    <cfRule type="duplicateValues" dxfId="20" priority="135"/>
  </conditionalFormatting>
  <conditionalFormatting sqref="A2:A8">
    <cfRule type="duplicateValues" dxfId="19" priority="137"/>
  </conditionalFormatting>
  <dataValidations count="2">
    <dataValidation type="list" allowBlank="1" showInputMessage="1" showErrorMessage="1" sqref="H2:H8" xr:uid="{49B296C2-6412-401D-B323-3C0C5E336153}">
      <formula1>PUERTO_DE_ARRIBO_PAIS</formula1>
    </dataValidation>
    <dataValidation type="list" allowBlank="1" showInputMessage="1" showErrorMessage="1" sqref="B2:C8" xr:uid="{7EBB31B9-0E07-4AFF-B359-6CD348657538}">
      <formula1>ESTATUS</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5" id="{133E1865-B074-4EC6-AC1E-42D161CBB06B}">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J1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EE38D-543C-4F10-ADE4-CA17868819FE}">
  <dimension ref="A1:M13"/>
  <sheetViews>
    <sheetView workbookViewId="0">
      <selection sqref="A1:E1"/>
    </sheetView>
  </sheetViews>
  <sheetFormatPr baseColWidth="10" defaultRowHeight="14.4" x14ac:dyDescent="0.3"/>
  <cols>
    <col min="5" max="5" width="33.5546875" bestFit="1" customWidth="1"/>
    <col min="6" max="6" width="15.21875" bestFit="1" customWidth="1"/>
    <col min="7" max="7" width="15.77734375" bestFit="1" customWidth="1"/>
    <col min="8" max="8" width="11.33203125" bestFit="1" customWidth="1"/>
    <col min="9" max="9" width="10.5546875" bestFit="1" customWidth="1"/>
    <col min="10" max="10" width="8.44140625" bestFit="1" customWidth="1"/>
    <col min="11" max="11" width="7.88671875" bestFit="1" customWidth="1"/>
    <col min="12" max="12" width="33.6640625" customWidth="1"/>
  </cols>
  <sheetData>
    <row r="1" spans="1:13" ht="30.6" x14ac:dyDescent="0.3">
      <c r="A1" s="99" t="s">
        <v>105</v>
      </c>
      <c r="B1" s="96" t="s">
        <v>106</v>
      </c>
      <c r="C1" s="96" t="s">
        <v>107</v>
      </c>
      <c r="D1" s="96" t="s">
        <v>108</v>
      </c>
      <c r="E1" s="97" t="s">
        <v>109</v>
      </c>
      <c r="F1" s="96" t="s">
        <v>110</v>
      </c>
      <c r="G1" s="96" t="s">
        <v>111</v>
      </c>
      <c r="H1" s="96" t="s">
        <v>112</v>
      </c>
      <c r="I1" s="96" t="s">
        <v>113</v>
      </c>
      <c r="J1" s="96" t="s">
        <v>2</v>
      </c>
      <c r="K1" s="96" t="s">
        <v>114</v>
      </c>
      <c r="L1" s="96" t="s">
        <v>118</v>
      </c>
      <c r="M1" s="98" t="s">
        <v>207</v>
      </c>
    </row>
    <row r="2" spans="1:13" ht="24" x14ac:dyDescent="0.3">
      <c r="A2" s="3" t="s">
        <v>414</v>
      </c>
      <c r="B2" s="6" t="s">
        <v>30</v>
      </c>
      <c r="C2" s="6">
        <v>45883</v>
      </c>
      <c r="D2" s="6">
        <v>45882</v>
      </c>
      <c r="E2" s="14" t="s">
        <v>290</v>
      </c>
      <c r="F2" s="5" t="s">
        <v>426</v>
      </c>
      <c r="G2" s="5" t="s">
        <v>427</v>
      </c>
      <c r="H2" s="4" t="s">
        <v>428</v>
      </c>
      <c r="I2" s="5">
        <v>2</v>
      </c>
      <c r="J2" s="5" t="s">
        <v>28</v>
      </c>
      <c r="K2" s="5" t="s">
        <v>72</v>
      </c>
      <c r="L2" s="44" t="s">
        <v>171</v>
      </c>
      <c r="M2" s="18">
        <v>45887</v>
      </c>
    </row>
    <row r="3" spans="1:13" x14ac:dyDescent="0.3">
      <c r="A3" s="3" t="s">
        <v>415</v>
      </c>
      <c r="B3" s="6" t="s">
        <v>30</v>
      </c>
      <c r="C3" s="6">
        <v>45862</v>
      </c>
      <c r="D3" s="6">
        <v>45882</v>
      </c>
      <c r="E3" s="14" t="s">
        <v>290</v>
      </c>
      <c r="F3" s="5" t="s">
        <v>429</v>
      </c>
      <c r="G3" s="5" t="s">
        <v>430</v>
      </c>
      <c r="H3" s="5" t="s">
        <v>431</v>
      </c>
      <c r="I3" s="5">
        <v>1</v>
      </c>
      <c r="J3" s="5" t="s">
        <v>28</v>
      </c>
      <c r="K3" s="5" t="s">
        <v>32</v>
      </c>
      <c r="L3" s="44" t="s">
        <v>461</v>
      </c>
      <c r="M3" s="18">
        <v>45893</v>
      </c>
    </row>
    <row r="4" spans="1:13" x14ac:dyDescent="0.3">
      <c r="A4" s="3" t="s">
        <v>416</v>
      </c>
      <c r="B4" s="6" t="s">
        <v>30</v>
      </c>
      <c r="C4" s="6">
        <v>45862</v>
      </c>
      <c r="D4" s="6">
        <v>45882</v>
      </c>
      <c r="E4" s="14" t="s">
        <v>290</v>
      </c>
      <c r="F4" s="5" t="s">
        <v>432</v>
      </c>
      <c r="G4" s="5" t="s">
        <v>433</v>
      </c>
      <c r="H4" s="5" t="s">
        <v>434</v>
      </c>
      <c r="I4" s="5">
        <v>1</v>
      </c>
      <c r="J4" s="5" t="s">
        <v>28</v>
      </c>
      <c r="K4" s="5" t="s">
        <v>32</v>
      </c>
      <c r="L4" s="44" t="s">
        <v>461</v>
      </c>
      <c r="M4" s="18">
        <v>45893</v>
      </c>
    </row>
    <row r="5" spans="1:13" x14ac:dyDescent="0.3">
      <c r="A5" s="3" t="s">
        <v>417</v>
      </c>
      <c r="B5" s="6" t="s">
        <v>30</v>
      </c>
      <c r="C5" s="6"/>
      <c r="D5" s="6">
        <v>45882</v>
      </c>
      <c r="E5" s="14" t="s">
        <v>290</v>
      </c>
      <c r="F5" s="5" t="s">
        <v>435</v>
      </c>
      <c r="G5" s="5" t="s">
        <v>436</v>
      </c>
      <c r="H5" s="5" t="s">
        <v>464</v>
      </c>
      <c r="I5" s="5">
        <v>1</v>
      </c>
      <c r="J5" s="5" t="s">
        <v>28</v>
      </c>
      <c r="K5" s="5" t="s">
        <v>32</v>
      </c>
      <c r="L5" s="44" t="s">
        <v>228</v>
      </c>
      <c r="M5" s="18">
        <v>45893</v>
      </c>
    </row>
    <row r="6" spans="1:13" x14ac:dyDescent="0.3">
      <c r="A6" s="3" t="s">
        <v>418</v>
      </c>
      <c r="B6" s="6" t="s">
        <v>318</v>
      </c>
      <c r="C6" s="6">
        <v>45852</v>
      </c>
      <c r="D6" s="6">
        <v>45882</v>
      </c>
      <c r="E6" s="14" t="s">
        <v>290</v>
      </c>
      <c r="F6" s="5" t="s">
        <v>437</v>
      </c>
      <c r="G6" s="5" t="s">
        <v>438</v>
      </c>
      <c r="H6" s="5" t="s">
        <v>439</v>
      </c>
      <c r="I6" s="5">
        <v>1</v>
      </c>
      <c r="J6" s="5" t="s">
        <v>28</v>
      </c>
      <c r="K6" s="5" t="s">
        <v>32</v>
      </c>
      <c r="L6" s="44" t="s">
        <v>228</v>
      </c>
      <c r="M6" s="18">
        <v>45893</v>
      </c>
    </row>
    <row r="7" spans="1:13" x14ac:dyDescent="0.3">
      <c r="A7" s="3" t="s">
        <v>419</v>
      </c>
      <c r="B7" s="6" t="s">
        <v>30</v>
      </c>
      <c r="C7" s="6">
        <v>45862</v>
      </c>
      <c r="D7" s="6">
        <v>45882</v>
      </c>
      <c r="E7" s="14" t="s">
        <v>290</v>
      </c>
      <c r="F7" s="5" t="s">
        <v>440</v>
      </c>
      <c r="G7" s="5" t="s">
        <v>441</v>
      </c>
      <c r="H7" s="5" t="s">
        <v>442</v>
      </c>
      <c r="I7" s="5">
        <v>1</v>
      </c>
      <c r="J7" s="5" t="s">
        <v>28</v>
      </c>
      <c r="K7" s="5" t="s">
        <v>32</v>
      </c>
      <c r="L7" s="44" t="s">
        <v>228</v>
      </c>
      <c r="M7" s="18">
        <v>45893</v>
      </c>
    </row>
    <row r="8" spans="1:13" x14ac:dyDescent="0.3">
      <c r="A8" s="3" t="s">
        <v>420</v>
      </c>
      <c r="B8" s="6">
        <v>45895</v>
      </c>
      <c r="C8" s="6" t="s">
        <v>30</v>
      </c>
      <c r="D8" s="6">
        <v>45882</v>
      </c>
      <c r="E8" s="14" t="s">
        <v>290</v>
      </c>
      <c r="F8" s="5" t="s">
        <v>443</v>
      </c>
      <c r="G8" s="5" t="s">
        <v>444</v>
      </c>
      <c r="H8" s="5" t="s">
        <v>445</v>
      </c>
      <c r="I8" s="5">
        <v>1</v>
      </c>
      <c r="J8" s="5" t="s">
        <v>28</v>
      </c>
      <c r="K8" s="5" t="s">
        <v>32</v>
      </c>
      <c r="L8" s="44" t="s">
        <v>228</v>
      </c>
      <c r="M8" s="18">
        <v>45893</v>
      </c>
    </row>
    <row r="9" spans="1:13" x14ac:dyDescent="0.3">
      <c r="A9" s="3" t="s">
        <v>421</v>
      </c>
      <c r="B9" s="6">
        <v>45853</v>
      </c>
      <c r="C9" s="6" t="s">
        <v>30</v>
      </c>
      <c r="D9" s="6">
        <v>45882</v>
      </c>
      <c r="E9" s="14" t="s">
        <v>290</v>
      </c>
      <c r="F9" s="5" t="s">
        <v>446</v>
      </c>
      <c r="G9" s="5" t="s">
        <v>447</v>
      </c>
      <c r="H9" s="5" t="s">
        <v>448</v>
      </c>
      <c r="I9" s="5">
        <v>1</v>
      </c>
      <c r="J9" s="5" t="s">
        <v>28</v>
      </c>
      <c r="K9" s="5" t="s">
        <v>32</v>
      </c>
      <c r="L9" s="44" t="s">
        <v>228</v>
      </c>
      <c r="M9" s="18">
        <v>45893</v>
      </c>
    </row>
    <row r="10" spans="1:13" x14ac:dyDescent="0.3">
      <c r="A10" s="3" t="s">
        <v>422</v>
      </c>
      <c r="B10" s="6" t="s">
        <v>30</v>
      </c>
      <c r="C10" s="6">
        <v>45890</v>
      </c>
      <c r="D10" s="6">
        <v>45889</v>
      </c>
      <c r="E10" s="14" t="s">
        <v>290</v>
      </c>
      <c r="F10" s="5" t="s">
        <v>449</v>
      </c>
      <c r="G10" s="5" t="s">
        <v>450</v>
      </c>
      <c r="H10" s="5" t="s">
        <v>451</v>
      </c>
      <c r="I10" s="5">
        <v>1</v>
      </c>
      <c r="J10" s="5" t="s">
        <v>28</v>
      </c>
      <c r="K10" s="5" t="s">
        <v>72</v>
      </c>
      <c r="L10" s="44" t="s">
        <v>223</v>
      </c>
      <c r="M10" s="18">
        <v>45899</v>
      </c>
    </row>
    <row r="11" spans="1:13" x14ac:dyDescent="0.3">
      <c r="A11" s="3" t="s">
        <v>423</v>
      </c>
      <c r="B11" s="6" t="s">
        <v>30</v>
      </c>
      <c r="C11" s="6">
        <v>45890</v>
      </c>
      <c r="D11" s="6">
        <v>45863</v>
      </c>
      <c r="E11" s="14" t="s">
        <v>290</v>
      </c>
      <c r="F11" s="5" t="s">
        <v>452</v>
      </c>
      <c r="G11" s="5" t="s">
        <v>453</v>
      </c>
      <c r="H11" s="5" t="s">
        <v>454</v>
      </c>
      <c r="I11" s="5">
        <v>1</v>
      </c>
      <c r="J11" s="5" t="s">
        <v>28</v>
      </c>
      <c r="K11" s="5" t="s">
        <v>72</v>
      </c>
      <c r="L11" s="44" t="s">
        <v>223</v>
      </c>
      <c r="M11" s="18">
        <v>45899</v>
      </c>
    </row>
    <row r="12" spans="1:13" x14ac:dyDescent="0.3">
      <c r="A12" s="3" t="s">
        <v>424</v>
      </c>
      <c r="B12" s="6">
        <v>45896</v>
      </c>
      <c r="C12" s="6" t="s">
        <v>30</v>
      </c>
      <c r="D12" s="6">
        <v>45863</v>
      </c>
      <c r="E12" s="14" t="s">
        <v>290</v>
      </c>
      <c r="F12" s="5" t="s">
        <v>455</v>
      </c>
      <c r="G12" s="5" t="s">
        <v>456</v>
      </c>
      <c r="H12" s="5" t="s">
        <v>457</v>
      </c>
      <c r="I12" s="5">
        <v>1</v>
      </c>
      <c r="J12" s="5" t="s">
        <v>28</v>
      </c>
      <c r="K12" s="5" t="s">
        <v>72</v>
      </c>
      <c r="L12" s="44" t="s">
        <v>223</v>
      </c>
      <c r="M12" s="18">
        <v>45899</v>
      </c>
    </row>
    <row r="13" spans="1:13" x14ac:dyDescent="0.3">
      <c r="A13" s="3" t="s">
        <v>425</v>
      </c>
      <c r="B13" s="6" t="s">
        <v>30</v>
      </c>
      <c r="C13" s="6">
        <v>45896</v>
      </c>
      <c r="D13" s="6">
        <v>45863</v>
      </c>
      <c r="E13" s="14" t="s">
        <v>290</v>
      </c>
      <c r="F13" s="5" t="s">
        <v>458</v>
      </c>
      <c r="G13" s="5" t="s">
        <v>459</v>
      </c>
      <c r="H13" s="5" t="s">
        <v>460</v>
      </c>
      <c r="I13" s="5">
        <v>1</v>
      </c>
      <c r="J13" s="5" t="s">
        <v>28</v>
      </c>
      <c r="K13" s="5" t="s">
        <v>72</v>
      </c>
      <c r="L13" s="44" t="s">
        <v>223</v>
      </c>
      <c r="M13" s="18">
        <v>45900</v>
      </c>
    </row>
  </sheetData>
  <conditionalFormatting sqref="A1:A12">
    <cfRule type="duplicateValues" dxfId="18" priority="25"/>
  </conditionalFormatting>
  <conditionalFormatting sqref="A2:A11">
    <cfRule type="duplicateValues" dxfId="17" priority="24"/>
  </conditionalFormatting>
  <conditionalFormatting sqref="A2:A12">
    <cfRule type="duplicateValues" dxfId="16" priority="23"/>
  </conditionalFormatting>
  <conditionalFormatting sqref="A6">
    <cfRule type="duplicateValues" dxfId="15" priority="16"/>
    <cfRule type="duplicateValues" dxfId="14" priority="17"/>
  </conditionalFormatting>
  <conditionalFormatting sqref="A7:A9">
    <cfRule type="duplicateValues" dxfId="13" priority="18"/>
    <cfRule type="duplicateValues" dxfId="12" priority="19"/>
    <cfRule type="duplicateValues" dxfId="11" priority="20"/>
    <cfRule type="duplicateValues" dxfId="10" priority="21"/>
    <cfRule type="duplicateValues" dxfId="9" priority="22"/>
  </conditionalFormatting>
  <conditionalFormatting sqref="A10:A12 A3:A6">
    <cfRule type="duplicateValues" dxfId="8" priority="14"/>
    <cfRule type="duplicateValues" dxfId="7" priority="15"/>
  </conditionalFormatting>
  <dataValidations count="2">
    <dataValidation type="list" allowBlank="1" showInputMessage="1" showErrorMessage="1" sqref="K2:K12" xr:uid="{4C349427-970B-429E-BB73-349E79673F05}">
      <formula1>NAVIERA__Destino</formula1>
    </dataValidation>
    <dataValidation type="list" allowBlank="1" showInputMessage="1" showErrorMessage="1" sqref="J2:J12" xr:uid="{04C8E465-38A6-4351-ACF9-182114A417B1}">
      <formula1>TIPO_DE_EMBARQUE</formula1>
    </dataValidation>
  </dataValidations>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26" id="{30A74BCB-281D-4961-91F8-58CC79A67B4B}">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M1</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8DC24-77CF-4498-8F82-2200650F31FA}">
  <dimension ref="A1:M16"/>
  <sheetViews>
    <sheetView view="pageBreakPreview" zoomScale="85" zoomScaleNormal="100" zoomScaleSheetLayoutView="85" workbookViewId="0">
      <selection sqref="A1:M1"/>
    </sheetView>
  </sheetViews>
  <sheetFormatPr baseColWidth="10" defaultRowHeight="14.4" x14ac:dyDescent="0.3"/>
  <cols>
    <col min="2" max="2" width="11.109375" bestFit="1" customWidth="1"/>
    <col min="5" max="5" width="40.88671875" customWidth="1"/>
    <col min="6" max="6" width="17.109375" bestFit="1" customWidth="1"/>
    <col min="7" max="7" width="15.44140625" bestFit="1" customWidth="1"/>
    <col min="8" max="8" width="11.21875" bestFit="1" customWidth="1"/>
    <col min="12" max="12" width="33.88671875" customWidth="1"/>
  </cols>
  <sheetData>
    <row r="1" spans="1:13" ht="30.6" x14ac:dyDescent="0.3">
      <c r="A1" s="19" t="s">
        <v>105</v>
      </c>
      <c r="B1" s="20" t="s">
        <v>106</v>
      </c>
      <c r="C1" s="20" t="s">
        <v>107</v>
      </c>
      <c r="D1" s="20" t="s">
        <v>108</v>
      </c>
      <c r="E1" s="83" t="s">
        <v>109</v>
      </c>
      <c r="F1" s="20" t="s">
        <v>110</v>
      </c>
      <c r="G1" s="20" t="s">
        <v>111</v>
      </c>
      <c r="H1" s="20" t="s">
        <v>112</v>
      </c>
      <c r="I1" s="20" t="s">
        <v>113</v>
      </c>
      <c r="J1" s="20" t="s">
        <v>2</v>
      </c>
      <c r="K1" s="20" t="s">
        <v>114</v>
      </c>
      <c r="L1" s="20" t="s">
        <v>118</v>
      </c>
      <c r="M1" s="21" t="s">
        <v>207</v>
      </c>
    </row>
    <row r="2" spans="1:13" ht="48" x14ac:dyDescent="0.3">
      <c r="A2" s="86" t="s">
        <v>382</v>
      </c>
      <c r="B2" s="41" t="s">
        <v>30</v>
      </c>
      <c r="C2" s="85" t="s">
        <v>484</v>
      </c>
      <c r="D2" s="6">
        <v>45881</v>
      </c>
      <c r="E2" s="14" t="s">
        <v>290</v>
      </c>
      <c r="F2" s="5" t="s">
        <v>383</v>
      </c>
      <c r="G2" s="5" t="s">
        <v>384</v>
      </c>
      <c r="H2" s="5" t="s">
        <v>385</v>
      </c>
      <c r="I2" s="5">
        <v>1</v>
      </c>
      <c r="J2" s="4" t="s">
        <v>28</v>
      </c>
      <c r="K2" s="5" t="s">
        <v>32</v>
      </c>
      <c r="L2" s="44" t="s">
        <v>401</v>
      </c>
      <c r="M2" s="87">
        <v>45913</v>
      </c>
    </row>
    <row r="3" spans="1:13" ht="24" x14ac:dyDescent="0.3">
      <c r="A3" s="81" t="s">
        <v>386</v>
      </c>
      <c r="B3" s="84">
        <v>45891</v>
      </c>
      <c r="C3" s="6" t="s">
        <v>30</v>
      </c>
      <c r="D3" s="6">
        <v>45902</v>
      </c>
      <c r="E3" s="14" t="s">
        <v>290</v>
      </c>
      <c r="F3" s="5" t="s">
        <v>387</v>
      </c>
      <c r="G3" s="5" t="s">
        <v>388</v>
      </c>
      <c r="H3" s="4" t="s">
        <v>389</v>
      </c>
      <c r="I3" s="5">
        <v>2</v>
      </c>
      <c r="J3" s="4" t="s">
        <v>28</v>
      </c>
      <c r="K3" s="5" t="s">
        <v>32</v>
      </c>
      <c r="L3" s="44" t="s">
        <v>401</v>
      </c>
      <c r="M3" s="87">
        <v>45913</v>
      </c>
    </row>
    <row r="4" spans="1:13" ht="24" x14ac:dyDescent="0.3">
      <c r="A4" s="81" t="s">
        <v>390</v>
      </c>
      <c r="B4" s="84">
        <v>45891</v>
      </c>
      <c r="C4" s="6" t="s">
        <v>30</v>
      </c>
      <c r="D4" s="6">
        <v>45902</v>
      </c>
      <c r="E4" s="14" t="s">
        <v>290</v>
      </c>
      <c r="F4" s="5" t="s">
        <v>391</v>
      </c>
      <c r="G4" s="5" t="s">
        <v>392</v>
      </c>
      <c r="H4" s="4" t="s">
        <v>479</v>
      </c>
      <c r="I4" s="5">
        <v>2</v>
      </c>
      <c r="J4" s="4" t="s">
        <v>28</v>
      </c>
      <c r="K4" s="5" t="s">
        <v>32</v>
      </c>
      <c r="L4" s="44" t="s">
        <v>401</v>
      </c>
      <c r="M4" s="87">
        <v>45913</v>
      </c>
    </row>
    <row r="5" spans="1:13" x14ac:dyDescent="0.3">
      <c r="A5" s="81" t="s">
        <v>393</v>
      </c>
      <c r="B5" s="84">
        <v>45896</v>
      </c>
      <c r="C5" s="6" t="s">
        <v>30</v>
      </c>
      <c r="D5" s="6">
        <v>45902</v>
      </c>
      <c r="E5" s="14" t="s">
        <v>290</v>
      </c>
      <c r="F5" s="5" t="s">
        <v>394</v>
      </c>
      <c r="G5" s="5" t="s">
        <v>395</v>
      </c>
      <c r="H5" s="5" t="s">
        <v>396</v>
      </c>
      <c r="I5" s="5">
        <v>1</v>
      </c>
      <c r="J5" s="5" t="s">
        <v>28</v>
      </c>
      <c r="K5" s="5" t="s">
        <v>32</v>
      </c>
      <c r="L5" s="44" t="s">
        <v>401</v>
      </c>
      <c r="M5" s="87">
        <v>45913</v>
      </c>
    </row>
    <row r="6" spans="1:13" ht="36" x14ac:dyDescent="0.3">
      <c r="A6" s="86" t="s">
        <v>397</v>
      </c>
      <c r="B6" s="41" t="s">
        <v>30</v>
      </c>
      <c r="C6" s="85" t="s">
        <v>487</v>
      </c>
      <c r="D6" s="6">
        <v>45902</v>
      </c>
      <c r="E6" s="14" t="s">
        <v>290</v>
      </c>
      <c r="F6" s="5" t="s">
        <v>398</v>
      </c>
      <c r="G6" s="5" t="s">
        <v>399</v>
      </c>
      <c r="H6" s="4" t="s">
        <v>400</v>
      </c>
      <c r="I6" s="5">
        <v>2</v>
      </c>
      <c r="J6" s="5" t="s">
        <v>28</v>
      </c>
      <c r="K6" s="5" t="s">
        <v>32</v>
      </c>
      <c r="L6" s="44" t="s">
        <v>401</v>
      </c>
      <c r="M6" s="87">
        <v>45913</v>
      </c>
    </row>
    <row r="7" spans="1:13" ht="36" x14ac:dyDescent="0.3">
      <c r="A7" s="86" t="s">
        <v>353</v>
      </c>
      <c r="B7" s="41" t="s">
        <v>483</v>
      </c>
      <c r="C7" s="85" t="s">
        <v>482</v>
      </c>
      <c r="D7" s="6"/>
      <c r="E7" s="14" t="s">
        <v>290</v>
      </c>
      <c r="F7" s="5" t="s">
        <v>354</v>
      </c>
      <c r="G7" s="5" t="s">
        <v>355</v>
      </c>
      <c r="H7" s="5" t="s">
        <v>356</v>
      </c>
      <c r="I7" s="5">
        <v>1</v>
      </c>
      <c r="J7" s="4" t="s">
        <v>28</v>
      </c>
      <c r="K7" s="5" t="s">
        <v>32</v>
      </c>
      <c r="L7" s="44" t="s">
        <v>299</v>
      </c>
      <c r="M7" s="87">
        <v>45920</v>
      </c>
    </row>
    <row r="8" spans="1:13" ht="24" x14ac:dyDescent="0.3">
      <c r="A8" s="81" t="s">
        <v>357</v>
      </c>
      <c r="B8" s="41" t="s">
        <v>30</v>
      </c>
      <c r="C8" s="1" t="s">
        <v>488</v>
      </c>
      <c r="D8" s="6"/>
      <c r="E8" s="14" t="s">
        <v>290</v>
      </c>
      <c r="F8" s="5" t="s">
        <v>358</v>
      </c>
      <c r="G8" s="5" t="s">
        <v>359</v>
      </c>
      <c r="H8" s="5" t="s">
        <v>360</v>
      </c>
      <c r="I8" s="5">
        <v>1</v>
      </c>
      <c r="J8" s="4" t="s">
        <v>28</v>
      </c>
      <c r="K8" s="5" t="s">
        <v>32</v>
      </c>
      <c r="L8" s="6" t="s">
        <v>299</v>
      </c>
      <c r="M8" s="87">
        <v>45920</v>
      </c>
    </row>
    <row r="9" spans="1:13" ht="36" x14ac:dyDescent="0.3">
      <c r="A9" s="81" t="s">
        <v>361</v>
      </c>
      <c r="B9" s="41" t="s">
        <v>30</v>
      </c>
      <c r="C9" s="6" t="s">
        <v>486</v>
      </c>
      <c r="D9" s="6"/>
      <c r="E9" s="14" t="s">
        <v>290</v>
      </c>
      <c r="F9" s="5" t="s">
        <v>362</v>
      </c>
      <c r="G9" s="5" t="s">
        <v>363</v>
      </c>
      <c r="H9" s="5" t="s">
        <v>364</v>
      </c>
      <c r="I9" s="5">
        <v>1</v>
      </c>
      <c r="J9" s="4" t="s">
        <v>28</v>
      </c>
      <c r="K9" s="5" t="s">
        <v>32</v>
      </c>
      <c r="L9" s="6" t="s">
        <v>299</v>
      </c>
      <c r="M9" s="87">
        <v>45920</v>
      </c>
    </row>
    <row r="10" spans="1:13" ht="24" x14ac:dyDescent="0.3">
      <c r="A10" s="81" t="s">
        <v>365</v>
      </c>
      <c r="B10" s="41" t="s">
        <v>30</v>
      </c>
      <c r="C10" s="1" t="s">
        <v>488</v>
      </c>
      <c r="D10" s="6"/>
      <c r="E10" s="14" t="s">
        <v>290</v>
      </c>
      <c r="F10" s="5" t="s">
        <v>366</v>
      </c>
      <c r="G10" s="5" t="s">
        <v>367</v>
      </c>
      <c r="H10" s="5" t="s">
        <v>368</v>
      </c>
      <c r="I10" s="5">
        <v>1</v>
      </c>
      <c r="J10" s="4" t="s">
        <v>28</v>
      </c>
      <c r="K10" s="5" t="s">
        <v>32</v>
      </c>
      <c r="L10" s="6" t="s">
        <v>299</v>
      </c>
      <c r="M10" s="87">
        <v>45920</v>
      </c>
    </row>
    <row r="11" spans="1:13" ht="24" x14ac:dyDescent="0.3">
      <c r="A11" s="81" t="s">
        <v>295</v>
      </c>
      <c r="B11" s="58">
        <v>45905</v>
      </c>
      <c r="C11" s="6" t="s">
        <v>30</v>
      </c>
      <c r="D11" s="6"/>
      <c r="E11" s="14" t="s">
        <v>290</v>
      </c>
      <c r="F11" s="5" t="s">
        <v>297</v>
      </c>
      <c r="G11" s="5" t="s">
        <v>298</v>
      </c>
      <c r="H11" s="4" t="s">
        <v>343</v>
      </c>
      <c r="I11" s="5">
        <v>2</v>
      </c>
      <c r="J11" s="4" t="s">
        <v>28</v>
      </c>
      <c r="K11" s="4" t="s">
        <v>32</v>
      </c>
      <c r="L11" s="44" t="s">
        <v>299</v>
      </c>
      <c r="M11" s="87">
        <v>45920</v>
      </c>
    </row>
    <row r="12" spans="1:13" ht="24" x14ac:dyDescent="0.3">
      <c r="A12" s="88" t="s">
        <v>369</v>
      </c>
      <c r="B12" s="41" t="s">
        <v>30</v>
      </c>
      <c r="C12" s="1" t="s">
        <v>488</v>
      </c>
      <c r="D12" s="6"/>
      <c r="E12" s="14" t="s">
        <v>290</v>
      </c>
      <c r="F12" s="5" t="s">
        <v>370</v>
      </c>
      <c r="G12" s="5" t="s">
        <v>371</v>
      </c>
      <c r="H12" s="5" t="s">
        <v>372</v>
      </c>
      <c r="I12" s="5">
        <v>1</v>
      </c>
      <c r="J12" s="4" t="s">
        <v>28</v>
      </c>
      <c r="K12" s="5" t="s">
        <v>72</v>
      </c>
      <c r="L12" s="6" t="s">
        <v>373</v>
      </c>
      <c r="M12" s="87">
        <v>45920</v>
      </c>
    </row>
    <row r="13" spans="1:13" ht="24" x14ac:dyDescent="0.3">
      <c r="A13" s="88" t="s">
        <v>377</v>
      </c>
      <c r="B13" s="41" t="s">
        <v>30</v>
      </c>
      <c r="C13" s="1" t="s">
        <v>488</v>
      </c>
      <c r="D13" s="6"/>
      <c r="E13" s="14" t="s">
        <v>290</v>
      </c>
      <c r="F13" s="5" t="s">
        <v>379</v>
      </c>
      <c r="G13" s="5" t="s">
        <v>378</v>
      </c>
      <c r="H13" s="4" t="s">
        <v>380</v>
      </c>
      <c r="I13" s="5">
        <v>2</v>
      </c>
      <c r="J13" s="4" t="s">
        <v>28</v>
      </c>
      <c r="K13" s="5" t="s">
        <v>72</v>
      </c>
      <c r="L13" s="6" t="s">
        <v>373</v>
      </c>
      <c r="M13" s="87">
        <v>45920</v>
      </c>
    </row>
    <row r="14" spans="1:13" x14ac:dyDescent="0.3">
      <c r="A14" s="88" t="s">
        <v>345</v>
      </c>
      <c r="B14" s="58">
        <v>45881</v>
      </c>
      <c r="C14" s="56" t="s">
        <v>30</v>
      </c>
      <c r="D14" s="55"/>
      <c r="E14" s="14" t="s">
        <v>290</v>
      </c>
      <c r="F14" s="5" t="s">
        <v>491</v>
      </c>
      <c r="G14" s="5" t="s">
        <v>346</v>
      </c>
      <c r="H14" s="4" t="s">
        <v>347</v>
      </c>
      <c r="I14" s="54">
        <v>1</v>
      </c>
      <c r="J14" s="54" t="s">
        <v>28</v>
      </c>
      <c r="K14" s="54" t="s">
        <v>69</v>
      </c>
      <c r="L14" s="44" t="s">
        <v>348</v>
      </c>
      <c r="M14" s="87">
        <v>45923</v>
      </c>
    </row>
    <row r="15" spans="1:13" x14ac:dyDescent="0.3">
      <c r="A15" s="40" t="s">
        <v>301</v>
      </c>
      <c r="B15" s="41" t="s">
        <v>30</v>
      </c>
      <c r="C15" s="56" t="s">
        <v>289</v>
      </c>
      <c r="D15" s="6"/>
      <c r="E15" s="14" t="s">
        <v>290</v>
      </c>
      <c r="F15" s="5" t="s">
        <v>302</v>
      </c>
      <c r="G15" s="5" t="s">
        <v>303</v>
      </c>
      <c r="H15" s="5" t="s">
        <v>304</v>
      </c>
      <c r="I15" s="5">
        <v>1</v>
      </c>
      <c r="J15" s="5" t="s">
        <v>28</v>
      </c>
      <c r="K15" s="5" t="s">
        <v>281</v>
      </c>
      <c r="L15" s="9" t="s">
        <v>341</v>
      </c>
      <c r="M15" s="13">
        <v>45925</v>
      </c>
    </row>
    <row r="16" spans="1:13" x14ac:dyDescent="0.3">
      <c r="A16" s="40" t="s">
        <v>305</v>
      </c>
      <c r="B16" s="41" t="s">
        <v>296</v>
      </c>
      <c r="C16" s="66" t="s">
        <v>296</v>
      </c>
      <c r="D16" s="6"/>
      <c r="E16" s="14" t="s">
        <v>290</v>
      </c>
      <c r="F16" s="5" t="s">
        <v>306</v>
      </c>
      <c r="G16" s="5" t="s">
        <v>307</v>
      </c>
      <c r="H16" s="4" t="s">
        <v>308</v>
      </c>
      <c r="I16" s="5">
        <v>1</v>
      </c>
      <c r="J16" s="4" t="s">
        <v>28</v>
      </c>
      <c r="K16" s="5" t="s">
        <v>281</v>
      </c>
      <c r="L16" s="9" t="s">
        <v>341</v>
      </c>
      <c r="M16" s="13">
        <v>45925</v>
      </c>
    </row>
  </sheetData>
  <conditionalFormatting sqref="A1:A16">
    <cfRule type="duplicateValues" dxfId="6" priority="4"/>
  </conditionalFormatting>
  <conditionalFormatting sqref="A2:A11">
    <cfRule type="duplicateValues" dxfId="5" priority="1"/>
    <cfRule type="duplicateValues" dxfId="4" priority="2"/>
  </conditionalFormatting>
  <conditionalFormatting sqref="A2:A16">
    <cfRule type="duplicateValues" dxfId="3" priority="3"/>
  </conditionalFormatting>
  <dataValidations count="2">
    <dataValidation type="list" allowBlank="1" showInputMessage="1" showErrorMessage="1" sqref="J2:J16" xr:uid="{04C8E465-38A6-4351-ACF9-182114A417B1}">
      <formula1>TIPO_DE_EMBARQUE</formula1>
    </dataValidation>
    <dataValidation type="list" allowBlank="1" showInputMessage="1" showErrorMessage="1" sqref="K2:K16" xr:uid="{4C349427-970B-429E-BB73-349E79673F05}">
      <formula1>NAVIERA__Destino</formula1>
    </dataValidation>
  </dataValidations>
  <pageMargins left="0.7" right="0.7" top="0.75" bottom="0.75" header="0.3" footer="0.3"/>
  <pageSetup scale="94" orientation="landscape" r:id="rId1"/>
  <colBreaks count="1" manualBreakCount="1">
    <brk id="8"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iconSet" priority="5" id="{6DD5B44C-6304-4B66-9220-5EEC0D2DD083}">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D153-BEF0-4A8D-95EC-527E2E1B9DBC}">
  <dimension ref="A2:M13"/>
  <sheetViews>
    <sheetView showGridLines="0" view="pageBreakPreview" zoomScaleNormal="100" zoomScaleSheetLayoutView="100" workbookViewId="0">
      <selection activeCell="A8" sqref="A8"/>
    </sheetView>
  </sheetViews>
  <sheetFormatPr baseColWidth="10" defaultRowHeight="14.4" x14ac:dyDescent="0.3"/>
  <cols>
    <col min="1" max="1" width="8.33203125" bestFit="1" customWidth="1"/>
    <col min="2" max="2" width="15.44140625" bestFit="1" customWidth="1"/>
    <col min="3" max="3" width="13.21875" customWidth="1"/>
    <col min="4" max="4" width="17.88671875" customWidth="1"/>
    <col min="5" max="5" width="33.5546875" bestFit="1" customWidth="1"/>
    <col min="6" max="6" width="15.21875" bestFit="1" customWidth="1"/>
    <col min="7" max="7" width="15.6640625" bestFit="1" customWidth="1"/>
    <col min="8" max="8" width="11.109375" bestFit="1" customWidth="1"/>
    <col min="9" max="9" width="10.5546875" bestFit="1" customWidth="1"/>
    <col min="10" max="10" width="13.5546875" bestFit="1" customWidth="1"/>
    <col min="11" max="11" width="12.88671875" bestFit="1" customWidth="1"/>
    <col min="12" max="12" width="28" bestFit="1" customWidth="1"/>
    <col min="13" max="13" width="14.21875" bestFit="1" customWidth="1"/>
  </cols>
  <sheetData>
    <row r="2" spans="1:13" ht="20.399999999999999" x14ac:dyDescent="0.3">
      <c r="A2" s="19" t="s">
        <v>105</v>
      </c>
      <c r="B2" s="20" t="s">
        <v>106</v>
      </c>
      <c r="C2" s="20" t="s">
        <v>107</v>
      </c>
      <c r="D2" s="20" t="s">
        <v>108</v>
      </c>
      <c r="E2" s="83" t="s">
        <v>109</v>
      </c>
      <c r="F2" s="20" t="s">
        <v>110</v>
      </c>
      <c r="G2" s="20" t="s">
        <v>111</v>
      </c>
      <c r="H2" s="20" t="s">
        <v>112</v>
      </c>
      <c r="I2" s="20" t="s">
        <v>113</v>
      </c>
      <c r="J2" s="20" t="s">
        <v>2</v>
      </c>
      <c r="K2" s="20" t="s">
        <v>114</v>
      </c>
      <c r="L2" s="20" t="s">
        <v>118</v>
      </c>
      <c r="M2" s="21" t="s">
        <v>207</v>
      </c>
    </row>
    <row r="3" spans="1:13" x14ac:dyDescent="0.3">
      <c r="A3" s="40" t="s">
        <v>349</v>
      </c>
      <c r="B3" s="41" t="s">
        <v>30</v>
      </c>
      <c r="C3" s="6" t="s">
        <v>289</v>
      </c>
      <c r="D3" s="6"/>
      <c r="E3" s="14" t="s">
        <v>290</v>
      </c>
      <c r="F3" s="5" t="s">
        <v>350</v>
      </c>
      <c r="G3" s="5" t="s">
        <v>351</v>
      </c>
      <c r="H3" s="5" t="s">
        <v>352</v>
      </c>
      <c r="I3" s="5">
        <v>1</v>
      </c>
      <c r="J3" s="4" t="s">
        <v>28</v>
      </c>
      <c r="K3" s="5" t="s">
        <v>32</v>
      </c>
      <c r="L3" s="50" t="s">
        <v>407</v>
      </c>
      <c r="M3" s="87">
        <v>45933</v>
      </c>
    </row>
    <row r="4" spans="1:13" x14ac:dyDescent="0.3">
      <c r="A4" s="92" t="s">
        <v>328</v>
      </c>
      <c r="B4" s="67">
        <v>45901</v>
      </c>
      <c r="C4" s="49" t="s">
        <v>30</v>
      </c>
      <c r="D4" s="59"/>
      <c r="E4" s="14" t="s">
        <v>290</v>
      </c>
      <c r="F4" s="60" t="s">
        <v>329</v>
      </c>
      <c r="G4" s="60" t="s">
        <v>330</v>
      </c>
      <c r="H4" s="60" t="s">
        <v>331</v>
      </c>
      <c r="I4" s="5">
        <v>1</v>
      </c>
      <c r="J4" s="60" t="s">
        <v>28</v>
      </c>
      <c r="K4" s="60" t="s">
        <v>32</v>
      </c>
      <c r="L4" s="50" t="s">
        <v>408</v>
      </c>
      <c r="M4" s="87">
        <v>45933</v>
      </c>
    </row>
    <row r="5" spans="1:13" x14ac:dyDescent="0.3">
      <c r="A5" s="40" t="s">
        <v>333</v>
      </c>
      <c r="B5" s="41" t="s">
        <v>30</v>
      </c>
      <c r="C5" s="56" t="s">
        <v>289</v>
      </c>
      <c r="D5" s="6"/>
      <c r="E5" s="14" t="s">
        <v>290</v>
      </c>
      <c r="F5" s="5" t="s">
        <v>334</v>
      </c>
      <c r="G5" s="5" t="s">
        <v>335</v>
      </c>
      <c r="H5" s="5" t="s">
        <v>336</v>
      </c>
      <c r="I5" s="5">
        <v>1</v>
      </c>
      <c r="J5" s="4" t="s">
        <v>28</v>
      </c>
      <c r="K5" s="4" t="s">
        <v>32</v>
      </c>
      <c r="L5" s="50" t="s">
        <v>408</v>
      </c>
      <c r="M5" s="87">
        <v>45933</v>
      </c>
    </row>
    <row r="6" spans="1:13" x14ac:dyDescent="0.3">
      <c r="A6" s="40" t="s">
        <v>409</v>
      </c>
      <c r="B6" s="41"/>
      <c r="C6" s="56">
        <v>45910</v>
      </c>
      <c r="D6" s="6">
        <v>45911</v>
      </c>
      <c r="E6" s="14" t="s">
        <v>290</v>
      </c>
      <c r="F6" s="5" t="s">
        <v>412</v>
      </c>
      <c r="G6" s="5" t="s">
        <v>410</v>
      </c>
      <c r="H6" s="5" t="s">
        <v>411</v>
      </c>
      <c r="I6" s="5">
        <v>1</v>
      </c>
      <c r="J6" s="5" t="s">
        <v>28</v>
      </c>
      <c r="K6" s="4" t="s">
        <v>32</v>
      </c>
      <c r="L6" s="72" t="s">
        <v>408</v>
      </c>
      <c r="M6" s="87">
        <v>45933</v>
      </c>
    </row>
    <row r="7" spans="1:13" x14ac:dyDescent="0.3">
      <c r="A7" s="68" t="s">
        <v>314</v>
      </c>
      <c r="B7" s="67" t="s">
        <v>296</v>
      </c>
      <c r="C7" s="73" t="s">
        <v>296</v>
      </c>
      <c r="D7" s="59"/>
      <c r="E7" s="14" t="s">
        <v>290</v>
      </c>
      <c r="F7" s="60" t="s">
        <v>315</v>
      </c>
      <c r="G7" s="60" t="s">
        <v>316</v>
      </c>
      <c r="H7" s="61" t="s">
        <v>340</v>
      </c>
      <c r="I7" s="5">
        <v>1</v>
      </c>
      <c r="J7" s="60" t="s">
        <v>28</v>
      </c>
      <c r="K7" s="60" t="s">
        <v>72</v>
      </c>
      <c r="L7" s="70" t="s">
        <v>381</v>
      </c>
      <c r="M7" s="13">
        <v>45933</v>
      </c>
    </row>
    <row r="8" spans="1:13" x14ac:dyDescent="0.3">
      <c r="A8" s="68" t="s">
        <v>403</v>
      </c>
      <c r="B8" s="67" t="s">
        <v>30</v>
      </c>
      <c r="C8" s="59" t="s">
        <v>289</v>
      </c>
      <c r="D8" s="59"/>
      <c r="E8" s="14" t="s">
        <v>290</v>
      </c>
      <c r="F8" s="60" t="s">
        <v>405</v>
      </c>
      <c r="G8" s="60" t="s">
        <v>404</v>
      </c>
      <c r="H8" s="60" t="s">
        <v>406</v>
      </c>
      <c r="I8" s="5">
        <v>1</v>
      </c>
      <c r="J8" s="60" t="s">
        <v>28</v>
      </c>
      <c r="K8" s="60" t="s">
        <v>72</v>
      </c>
      <c r="L8" s="71" t="s">
        <v>381</v>
      </c>
      <c r="M8" s="13">
        <v>45933</v>
      </c>
    </row>
    <row r="9" spans="1:13" x14ac:dyDescent="0.3">
      <c r="A9" s="68" t="s">
        <v>324</v>
      </c>
      <c r="B9" s="67">
        <v>45910</v>
      </c>
      <c r="C9" s="49"/>
      <c r="D9" s="59"/>
      <c r="E9" s="14" t="s">
        <v>290</v>
      </c>
      <c r="F9" s="60" t="s">
        <v>325</v>
      </c>
      <c r="G9" s="60" t="s">
        <v>326</v>
      </c>
      <c r="H9" s="61" t="s">
        <v>327</v>
      </c>
      <c r="I9" s="5">
        <v>1</v>
      </c>
      <c r="J9" s="61" t="s">
        <v>28</v>
      </c>
      <c r="K9" s="61" t="s">
        <v>32</v>
      </c>
      <c r="L9" s="51" t="s">
        <v>313</v>
      </c>
      <c r="M9" s="13">
        <v>45937</v>
      </c>
    </row>
    <row r="10" spans="1:13" ht="24" x14ac:dyDescent="0.3">
      <c r="A10" s="45" t="s">
        <v>288</v>
      </c>
      <c r="B10" s="41" t="s">
        <v>30</v>
      </c>
      <c r="C10" s="56" t="s">
        <v>289</v>
      </c>
      <c r="D10" s="6"/>
      <c r="E10" s="14" t="s">
        <v>290</v>
      </c>
      <c r="F10" s="15" t="s">
        <v>291</v>
      </c>
      <c r="G10" s="4" t="s">
        <v>292</v>
      </c>
      <c r="H10" s="4" t="s">
        <v>293</v>
      </c>
      <c r="I10" s="4">
        <v>1</v>
      </c>
      <c r="J10" s="4" t="s">
        <v>28</v>
      </c>
      <c r="K10" s="4" t="s">
        <v>32</v>
      </c>
      <c r="L10" s="52" t="s">
        <v>294</v>
      </c>
      <c r="M10" s="13">
        <v>45942</v>
      </c>
    </row>
    <row r="11" spans="1:13" x14ac:dyDescent="0.3">
      <c r="A11" s="45" t="s">
        <v>337</v>
      </c>
      <c r="B11" s="41" t="s">
        <v>30</v>
      </c>
      <c r="C11" s="56" t="s">
        <v>289</v>
      </c>
      <c r="D11" s="6"/>
      <c r="E11" s="14" t="s">
        <v>290</v>
      </c>
      <c r="F11" s="15" t="s">
        <v>338</v>
      </c>
      <c r="G11" s="4" t="s">
        <v>344</v>
      </c>
      <c r="H11" s="4" t="s">
        <v>339</v>
      </c>
      <c r="I11" s="4">
        <v>1</v>
      </c>
      <c r="J11" s="4" t="s">
        <v>28</v>
      </c>
      <c r="K11" s="4" t="s">
        <v>32</v>
      </c>
      <c r="L11" s="52" t="s">
        <v>313</v>
      </c>
      <c r="M11" s="13">
        <v>45942</v>
      </c>
    </row>
    <row r="12" spans="1:13" x14ac:dyDescent="0.3">
      <c r="A12" s="40" t="s">
        <v>309</v>
      </c>
      <c r="B12" s="41" t="s">
        <v>296</v>
      </c>
      <c r="C12" s="66" t="s">
        <v>296</v>
      </c>
      <c r="D12" s="6"/>
      <c r="E12" s="14" t="s">
        <v>290</v>
      </c>
      <c r="F12" s="5" t="s">
        <v>310</v>
      </c>
      <c r="G12" s="5" t="s">
        <v>311</v>
      </c>
      <c r="H12" s="5" t="s">
        <v>312</v>
      </c>
      <c r="I12" s="5">
        <v>1</v>
      </c>
      <c r="J12" s="4" t="s">
        <v>28</v>
      </c>
      <c r="K12" s="4" t="s">
        <v>32</v>
      </c>
      <c r="L12" s="53" t="s">
        <v>313</v>
      </c>
      <c r="M12" s="13">
        <v>45942</v>
      </c>
    </row>
    <row r="13" spans="1:13" x14ac:dyDescent="0.3">
      <c r="A13" s="100" t="s">
        <v>317</v>
      </c>
      <c r="B13" s="102" t="s">
        <v>318</v>
      </c>
      <c r="C13" s="103" t="s">
        <v>289</v>
      </c>
      <c r="D13" s="104"/>
      <c r="E13" s="14" t="s">
        <v>290</v>
      </c>
      <c r="F13" s="105" t="s">
        <v>319</v>
      </c>
      <c r="G13" s="105" t="s">
        <v>320</v>
      </c>
      <c r="H13" s="105" t="s">
        <v>321</v>
      </c>
      <c r="I13" s="5">
        <v>1</v>
      </c>
      <c r="J13" s="101" t="s">
        <v>28</v>
      </c>
      <c r="K13" s="101" t="s">
        <v>32</v>
      </c>
      <c r="L13" s="44" t="s">
        <v>322</v>
      </c>
      <c r="M13" s="18">
        <v>45947</v>
      </c>
    </row>
  </sheetData>
  <conditionalFormatting sqref="A2">
    <cfRule type="duplicateValues" dxfId="2" priority="1"/>
  </conditionalFormatting>
  <conditionalFormatting sqref="A3:A13">
    <cfRule type="duplicateValues" dxfId="1" priority="3"/>
    <cfRule type="duplicateValues" dxfId="0" priority="4"/>
  </conditionalFormatting>
  <dataValidations count="2">
    <dataValidation type="list" allowBlank="1" showInputMessage="1" showErrorMessage="1" sqref="K3:K13" xr:uid="{75D5279B-228E-48F5-BB72-3602254CDEBA}">
      <formula1>NAVIERA__Destino</formula1>
    </dataValidation>
    <dataValidation type="list" allowBlank="1" showInputMessage="1" showErrorMessage="1" sqref="J3:J13" xr:uid="{90909273-05DB-41A8-A1FA-F335C82938E5}">
      <formula1>TIPO_DE_EMBARQUE</formula1>
    </dataValidation>
  </dataValidations>
  <pageMargins left="0.7" right="0.7" top="0.75" bottom="0.75" header="0.3" footer="0.3"/>
  <pageSetup scale="94" orientation="landscape" r:id="rId1"/>
  <colBreaks count="1" manualBreakCount="1">
    <brk id="8" max="1048575" man="1"/>
  </colBreaks>
  <legacyDrawing r:id="rId2"/>
  <extLst>
    <ext xmlns:x14="http://schemas.microsoft.com/office/spreadsheetml/2009/9/main" uri="{78C0D931-6437-407d-A8EE-F0AAD7539E65}">
      <x14:conditionalFormattings>
        <x14:conditionalFormatting xmlns:xm="http://schemas.microsoft.com/office/excel/2006/main">
          <x14:cfRule type="iconSet" priority="2" id="{B89217FF-1F5E-4133-9999-FCE633F6F08B}">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M2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8397-D591-472A-A179-E1F5140FCC66}">
  <dimension ref="A1:F64"/>
  <sheetViews>
    <sheetView topLeftCell="A2" workbookViewId="0">
      <selection activeCell="A2" sqref="A1:XFD1048576"/>
    </sheetView>
  </sheetViews>
  <sheetFormatPr baseColWidth="10" defaultColWidth="10.6640625" defaultRowHeight="14.4" x14ac:dyDescent="0.3"/>
  <cols>
    <col min="1" max="1" width="18.109375" bestFit="1" customWidth="1"/>
    <col min="2" max="2" width="27.88671875" bestFit="1" customWidth="1"/>
    <col min="3" max="3" width="21" bestFit="1" customWidth="1"/>
    <col min="4" max="4" width="20.44140625" bestFit="1" customWidth="1"/>
    <col min="5" max="5" width="16.5546875" bestFit="1" customWidth="1"/>
    <col min="6" max="6" width="26.109375" bestFit="1" customWidth="1"/>
  </cols>
  <sheetData>
    <row r="1" spans="1:6" x14ac:dyDescent="0.3">
      <c r="A1" t="s">
        <v>0</v>
      </c>
      <c r="B1" t="s">
        <v>1</v>
      </c>
      <c r="C1" t="s">
        <v>2</v>
      </c>
      <c r="D1" t="s">
        <v>3</v>
      </c>
      <c r="E1" t="s">
        <v>4</v>
      </c>
      <c r="F1" t="s">
        <v>5</v>
      </c>
    </row>
    <row r="2" spans="1:6" x14ac:dyDescent="0.3">
      <c r="A2" t="s">
        <v>268</v>
      </c>
      <c r="B2" t="s">
        <v>7</v>
      </c>
      <c r="C2" t="s">
        <v>8</v>
      </c>
      <c r="D2" t="s">
        <v>9</v>
      </c>
      <c r="E2" t="s">
        <v>9</v>
      </c>
      <c r="F2" t="s">
        <v>44</v>
      </c>
    </row>
    <row r="3" spans="1:6" x14ac:dyDescent="0.3">
      <c r="A3" t="s">
        <v>16</v>
      </c>
      <c r="B3" t="s">
        <v>12</v>
      </c>
      <c r="C3" t="s">
        <v>13</v>
      </c>
      <c r="D3" t="s">
        <v>14</v>
      </c>
      <c r="E3" t="s">
        <v>14</v>
      </c>
      <c r="F3" t="s">
        <v>10</v>
      </c>
    </row>
    <row r="4" spans="1:6" x14ac:dyDescent="0.3">
      <c r="A4" t="s">
        <v>26</v>
      </c>
      <c r="B4" t="s">
        <v>17</v>
      </c>
      <c r="C4" t="s">
        <v>275</v>
      </c>
      <c r="D4" t="s">
        <v>19</v>
      </c>
      <c r="E4" t="s">
        <v>19</v>
      </c>
      <c r="F4" t="s">
        <v>15</v>
      </c>
    </row>
    <row r="5" spans="1:6" x14ac:dyDescent="0.3">
      <c r="A5" t="s">
        <v>269</v>
      </c>
      <c r="B5" t="s">
        <v>22</v>
      </c>
      <c r="C5" t="s">
        <v>18</v>
      </c>
      <c r="D5" t="s">
        <v>24</v>
      </c>
      <c r="E5" t="s">
        <v>24</v>
      </c>
      <c r="F5" t="s">
        <v>279</v>
      </c>
    </row>
    <row r="6" spans="1:6" x14ac:dyDescent="0.3">
      <c r="A6" t="s">
        <v>31</v>
      </c>
      <c r="B6" t="s">
        <v>27</v>
      </c>
      <c r="C6" t="s">
        <v>23</v>
      </c>
      <c r="D6" t="s">
        <v>29</v>
      </c>
      <c r="E6" t="s">
        <v>29</v>
      </c>
      <c r="F6" t="s">
        <v>62</v>
      </c>
    </row>
    <row r="7" spans="1:6" x14ac:dyDescent="0.3">
      <c r="A7" t="s">
        <v>474</v>
      </c>
      <c r="B7" t="s">
        <v>32</v>
      </c>
      <c r="C7" t="s">
        <v>28</v>
      </c>
      <c r="D7" t="s">
        <v>34</v>
      </c>
      <c r="E7" t="s">
        <v>34</v>
      </c>
      <c r="F7" t="s">
        <v>20</v>
      </c>
    </row>
    <row r="8" spans="1:6" x14ac:dyDescent="0.3">
      <c r="A8" t="s">
        <v>475</v>
      </c>
      <c r="B8" t="s">
        <v>36</v>
      </c>
      <c r="C8" t="s">
        <v>33</v>
      </c>
      <c r="D8" t="s">
        <v>38</v>
      </c>
      <c r="E8" t="s">
        <v>38</v>
      </c>
      <c r="F8" t="s">
        <v>25</v>
      </c>
    </row>
    <row r="9" spans="1:6" x14ac:dyDescent="0.3">
      <c r="A9" t="s">
        <v>21</v>
      </c>
      <c r="B9" t="s">
        <v>39</v>
      </c>
      <c r="C9" t="s">
        <v>37</v>
      </c>
      <c r="D9" t="s">
        <v>41</v>
      </c>
      <c r="E9" t="s">
        <v>41</v>
      </c>
      <c r="F9" t="s">
        <v>270</v>
      </c>
    </row>
    <row r="10" spans="1:6" x14ac:dyDescent="0.3">
      <c r="A10" t="s">
        <v>11</v>
      </c>
      <c r="B10" t="s">
        <v>42</v>
      </c>
      <c r="C10" t="s">
        <v>40</v>
      </c>
      <c r="D10" t="s">
        <v>44</v>
      </c>
      <c r="E10" t="s">
        <v>280</v>
      </c>
      <c r="F10" t="s">
        <v>71</v>
      </c>
    </row>
    <row r="11" spans="1:6" x14ac:dyDescent="0.3">
      <c r="A11" t="s">
        <v>6</v>
      </c>
      <c r="B11" t="s">
        <v>45</v>
      </c>
      <c r="C11" t="s">
        <v>43</v>
      </c>
      <c r="D11" t="s">
        <v>47</v>
      </c>
      <c r="E11" t="s">
        <v>276</v>
      </c>
      <c r="F11" t="s">
        <v>30</v>
      </c>
    </row>
    <row r="12" spans="1:6" x14ac:dyDescent="0.3">
      <c r="B12" t="s">
        <v>48</v>
      </c>
      <c r="C12" t="s">
        <v>46</v>
      </c>
      <c r="D12" t="s">
        <v>49</v>
      </c>
      <c r="E12" t="s">
        <v>44</v>
      </c>
      <c r="F12" t="s">
        <v>35</v>
      </c>
    </row>
    <row r="13" spans="1:6" x14ac:dyDescent="0.3">
      <c r="B13" t="s">
        <v>50</v>
      </c>
      <c r="D13" t="s">
        <v>10</v>
      </c>
      <c r="E13" t="s">
        <v>47</v>
      </c>
    </row>
    <row r="14" spans="1:6" x14ac:dyDescent="0.3">
      <c r="B14" t="s">
        <v>51</v>
      </c>
      <c r="D14" t="s">
        <v>52</v>
      </c>
      <c r="E14" t="s">
        <v>49</v>
      </c>
    </row>
    <row r="15" spans="1:6" x14ac:dyDescent="0.3">
      <c r="B15" t="s">
        <v>53</v>
      </c>
      <c r="D15" t="s">
        <v>15</v>
      </c>
      <c r="E15" t="s">
        <v>10</v>
      </c>
    </row>
    <row r="16" spans="1:6" x14ac:dyDescent="0.3">
      <c r="B16" t="s">
        <v>54</v>
      </c>
      <c r="D16" t="s">
        <v>55</v>
      </c>
      <c r="E16" t="s">
        <v>52</v>
      </c>
    </row>
    <row r="17" spans="2:5" x14ac:dyDescent="0.3">
      <c r="B17" t="s">
        <v>56</v>
      </c>
      <c r="D17" t="s">
        <v>57</v>
      </c>
      <c r="E17" t="s">
        <v>15</v>
      </c>
    </row>
    <row r="18" spans="2:5" x14ac:dyDescent="0.3">
      <c r="B18" t="s">
        <v>163</v>
      </c>
      <c r="D18" t="s">
        <v>59</v>
      </c>
      <c r="E18" t="s">
        <v>55</v>
      </c>
    </row>
    <row r="19" spans="2:5" x14ac:dyDescent="0.3">
      <c r="B19" t="s">
        <v>58</v>
      </c>
      <c r="D19" t="s">
        <v>277</v>
      </c>
      <c r="E19" t="s">
        <v>57</v>
      </c>
    </row>
    <row r="20" spans="2:5" x14ac:dyDescent="0.3">
      <c r="B20" t="s">
        <v>60</v>
      </c>
      <c r="D20" t="s">
        <v>62</v>
      </c>
      <c r="E20" t="s">
        <v>278</v>
      </c>
    </row>
    <row r="21" spans="2:5" x14ac:dyDescent="0.3">
      <c r="B21" t="s">
        <v>61</v>
      </c>
      <c r="D21" t="s">
        <v>146</v>
      </c>
      <c r="E21" t="s">
        <v>59</v>
      </c>
    </row>
    <row r="22" spans="2:5" x14ac:dyDescent="0.3">
      <c r="B22" t="s">
        <v>476</v>
      </c>
      <c r="D22" t="s">
        <v>147</v>
      </c>
      <c r="E22" t="s">
        <v>277</v>
      </c>
    </row>
    <row r="23" spans="2:5" x14ac:dyDescent="0.3">
      <c r="B23" t="s">
        <v>63</v>
      </c>
      <c r="D23" t="s">
        <v>64</v>
      </c>
      <c r="E23" t="s">
        <v>62</v>
      </c>
    </row>
    <row r="24" spans="2:5" x14ac:dyDescent="0.3">
      <c r="B24" t="s">
        <v>65</v>
      </c>
      <c r="D24" t="s">
        <v>148</v>
      </c>
      <c r="E24" t="s">
        <v>146</v>
      </c>
    </row>
    <row r="25" spans="2:5" x14ac:dyDescent="0.3">
      <c r="B25" t="s">
        <v>67</v>
      </c>
      <c r="D25" t="s">
        <v>66</v>
      </c>
      <c r="E25" t="s">
        <v>147</v>
      </c>
    </row>
    <row r="26" spans="2:5" x14ac:dyDescent="0.3">
      <c r="B26" t="s">
        <v>69</v>
      </c>
      <c r="D26" t="s">
        <v>68</v>
      </c>
      <c r="E26" t="s">
        <v>64</v>
      </c>
    </row>
    <row r="27" spans="2:5" x14ac:dyDescent="0.3">
      <c r="B27" t="s">
        <v>70</v>
      </c>
      <c r="D27" t="s">
        <v>20</v>
      </c>
      <c r="E27" t="s">
        <v>148</v>
      </c>
    </row>
    <row r="28" spans="2:5" x14ac:dyDescent="0.3">
      <c r="B28" t="s">
        <v>72</v>
      </c>
      <c r="D28" t="s">
        <v>149</v>
      </c>
      <c r="E28" t="s">
        <v>66</v>
      </c>
    </row>
    <row r="29" spans="2:5" x14ac:dyDescent="0.3">
      <c r="B29" t="s">
        <v>74</v>
      </c>
      <c r="D29" t="s">
        <v>84</v>
      </c>
      <c r="E29" t="s">
        <v>68</v>
      </c>
    </row>
    <row r="30" spans="2:5" x14ac:dyDescent="0.3">
      <c r="B30" t="s">
        <v>76</v>
      </c>
      <c r="D30" t="s">
        <v>164</v>
      </c>
      <c r="E30" t="s">
        <v>20</v>
      </c>
    </row>
    <row r="31" spans="2:5" x14ac:dyDescent="0.3">
      <c r="B31" t="s">
        <v>78</v>
      </c>
      <c r="D31" t="s">
        <v>71</v>
      </c>
      <c r="E31" t="s">
        <v>79</v>
      </c>
    </row>
    <row r="32" spans="2:5" x14ac:dyDescent="0.3">
      <c r="B32" t="s">
        <v>281</v>
      </c>
      <c r="D32" t="s">
        <v>73</v>
      </c>
      <c r="E32" t="s">
        <v>81</v>
      </c>
    </row>
    <row r="33" spans="2:5" x14ac:dyDescent="0.3">
      <c r="B33" t="s">
        <v>282</v>
      </c>
      <c r="D33" t="s">
        <v>477</v>
      </c>
      <c r="E33" t="s">
        <v>84</v>
      </c>
    </row>
    <row r="34" spans="2:5" x14ac:dyDescent="0.3">
      <c r="B34" t="s">
        <v>150</v>
      </c>
      <c r="D34" t="s">
        <v>151</v>
      </c>
      <c r="E34" t="s">
        <v>164</v>
      </c>
    </row>
    <row r="35" spans="2:5" x14ac:dyDescent="0.3">
      <c r="B35" t="s">
        <v>478</v>
      </c>
      <c r="D35" t="s">
        <v>152</v>
      </c>
      <c r="E35" t="s">
        <v>154</v>
      </c>
    </row>
    <row r="36" spans="2:5" x14ac:dyDescent="0.3">
      <c r="B36" t="s">
        <v>82</v>
      </c>
      <c r="D36" t="s">
        <v>75</v>
      </c>
      <c r="E36" t="s">
        <v>87</v>
      </c>
    </row>
    <row r="37" spans="2:5" x14ac:dyDescent="0.3">
      <c r="B37" t="s">
        <v>153</v>
      </c>
      <c r="D37" t="s">
        <v>77</v>
      </c>
      <c r="E37" t="s">
        <v>71</v>
      </c>
    </row>
    <row r="38" spans="2:5" x14ac:dyDescent="0.3">
      <c r="B38" t="s">
        <v>85</v>
      </c>
      <c r="D38" t="s">
        <v>35</v>
      </c>
      <c r="E38" t="s">
        <v>273</v>
      </c>
    </row>
    <row r="39" spans="2:5" x14ac:dyDescent="0.3">
      <c r="B39" t="s">
        <v>271</v>
      </c>
      <c r="D39" t="s">
        <v>80</v>
      </c>
      <c r="E39" t="s">
        <v>73</v>
      </c>
    </row>
    <row r="40" spans="2:5" x14ac:dyDescent="0.3">
      <c r="B40" t="s">
        <v>272</v>
      </c>
      <c r="D40" t="s">
        <v>83</v>
      </c>
      <c r="E40" t="s">
        <v>477</v>
      </c>
    </row>
    <row r="41" spans="2:5" x14ac:dyDescent="0.3">
      <c r="B41" t="s">
        <v>155</v>
      </c>
      <c r="D41" t="s">
        <v>86</v>
      </c>
      <c r="E41" t="s">
        <v>93</v>
      </c>
    </row>
    <row r="42" spans="2:5" x14ac:dyDescent="0.3">
      <c r="B42" t="s">
        <v>156</v>
      </c>
      <c r="D42" t="s">
        <v>89</v>
      </c>
      <c r="E42" t="s">
        <v>159</v>
      </c>
    </row>
    <row r="43" spans="2:5" x14ac:dyDescent="0.3">
      <c r="B43" t="s">
        <v>157</v>
      </c>
      <c r="D43" t="s">
        <v>91</v>
      </c>
      <c r="E43" t="s">
        <v>94</v>
      </c>
    </row>
    <row r="44" spans="2:5" x14ac:dyDescent="0.3">
      <c r="B44" t="s">
        <v>158</v>
      </c>
      <c r="E44" t="s">
        <v>152</v>
      </c>
    </row>
    <row r="45" spans="2:5" x14ac:dyDescent="0.3">
      <c r="B45" t="s">
        <v>88</v>
      </c>
      <c r="E45" t="s">
        <v>75</v>
      </c>
    </row>
    <row r="46" spans="2:5" x14ac:dyDescent="0.3">
      <c r="B46" t="s">
        <v>90</v>
      </c>
      <c r="E46" t="s">
        <v>77</v>
      </c>
    </row>
    <row r="47" spans="2:5" x14ac:dyDescent="0.3">
      <c r="B47" t="s">
        <v>92</v>
      </c>
      <c r="E47" t="s">
        <v>35</v>
      </c>
    </row>
    <row r="48" spans="2:5" x14ac:dyDescent="0.3">
      <c r="E48" t="s">
        <v>80</v>
      </c>
    </row>
    <row r="49" spans="5:5" x14ac:dyDescent="0.3">
      <c r="E49" t="s">
        <v>95</v>
      </c>
    </row>
    <row r="50" spans="5:5" x14ac:dyDescent="0.3">
      <c r="E50" t="s">
        <v>83</v>
      </c>
    </row>
    <row r="51" spans="5:5" x14ac:dyDescent="0.3">
      <c r="E51" t="s">
        <v>96</v>
      </c>
    </row>
    <row r="52" spans="5:5" x14ac:dyDescent="0.3">
      <c r="E52" t="s">
        <v>160</v>
      </c>
    </row>
    <row r="53" spans="5:5" x14ac:dyDescent="0.3">
      <c r="E53" t="s">
        <v>97</v>
      </c>
    </row>
    <row r="54" spans="5:5" x14ac:dyDescent="0.3">
      <c r="E54" t="s">
        <v>98</v>
      </c>
    </row>
    <row r="55" spans="5:5" x14ac:dyDescent="0.3">
      <c r="E55" t="s">
        <v>99</v>
      </c>
    </row>
    <row r="56" spans="5:5" x14ac:dyDescent="0.3">
      <c r="E56" t="s">
        <v>100</v>
      </c>
    </row>
    <row r="57" spans="5:5" x14ac:dyDescent="0.3">
      <c r="E57" t="s">
        <v>86</v>
      </c>
    </row>
    <row r="58" spans="5:5" x14ac:dyDescent="0.3">
      <c r="E58" t="s">
        <v>89</v>
      </c>
    </row>
    <row r="59" spans="5:5" x14ac:dyDescent="0.3">
      <c r="E59" t="s">
        <v>101</v>
      </c>
    </row>
    <row r="60" spans="5:5" x14ac:dyDescent="0.3">
      <c r="E60" t="s">
        <v>102</v>
      </c>
    </row>
    <row r="61" spans="5:5" x14ac:dyDescent="0.3">
      <c r="E61" t="s">
        <v>103</v>
      </c>
    </row>
    <row r="62" spans="5:5" x14ac:dyDescent="0.3">
      <c r="E62" t="s">
        <v>274</v>
      </c>
    </row>
    <row r="63" spans="5:5" x14ac:dyDescent="0.3">
      <c r="E63" t="s">
        <v>161</v>
      </c>
    </row>
    <row r="64" spans="5:5" x14ac:dyDescent="0.3">
      <c r="E64" t="s">
        <v>162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2EE26350234A499F5AEB2249C7FC49" ma:contentTypeVersion="13" ma:contentTypeDescription="Create a new document." ma:contentTypeScope="" ma:versionID="45edb16b1bfaf09ded2bb9e41e2dfc8c">
  <xsd:schema xmlns:xsd="http://www.w3.org/2001/XMLSchema" xmlns:xs="http://www.w3.org/2001/XMLSchema" xmlns:p="http://schemas.microsoft.com/office/2006/metadata/properties" xmlns:ns2="7ca65dc4-0ba8-4df2-937a-25e846930482" xmlns:ns3="8799d12e-8fa3-42bf-a978-9575b7bdf969" targetNamespace="http://schemas.microsoft.com/office/2006/metadata/properties" ma:root="true" ma:fieldsID="7d2359f114753d50c0a3d070c9b10b0c" ns2:_="" ns3:_="">
    <xsd:import namespace="7ca65dc4-0ba8-4df2-937a-25e846930482"/>
    <xsd:import namespace="8799d12e-8fa3-42bf-a978-9575b7bdf96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65dc4-0ba8-4df2-937a-25e84693048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1617aa6b-377c-4b51-bdd2-7fb0c187e580"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99d12e-8fa3-42bf-a978-9575b7bdf96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64d9dcfb-383f-4d78-9530-b1f5514bdc8c}" ma:internalName="TaxCatchAll" ma:showField="CatchAllData" ma:web="8799d12e-8fa3-42bf-a978-9575b7bdf9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799d12e-8fa3-42bf-a978-9575b7bdf969" xsi:nil="true"/>
    <lcf76f155ced4ddcb4097134ff3c332f xmlns="7ca65dc4-0ba8-4df2-937a-25e846930482">
      <Terms xmlns="http://schemas.microsoft.com/office/infopath/2007/PartnerControls"/>
    </lcf76f155ced4ddcb4097134ff3c332f>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4268DE-588E-484A-ABBE-DA03846305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a65dc4-0ba8-4df2-937a-25e846930482"/>
    <ds:schemaRef ds:uri="8799d12e-8fa3-42bf-a978-9575b7bdf9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83AF41-A43D-4B34-9BEE-4B7847C5CF3A}">
  <ds:schemaRefs>
    <ds:schemaRef ds:uri="http://schemas.microsoft.com/office/2006/metadata/properties"/>
    <ds:schemaRef ds:uri="http://www.w3.org/2000/xmlns/"/>
    <ds:schemaRef ds:uri="8799d12e-8fa3-42bf-a978-9575b7bdf969"/>
    <ds:schemaRef ds:uri="http://www.w3.org/2001/XMLSchema-instance"/>
    <ds:schemaRef ds:uri="7ca65dc4-0ba8-4df2-937a-25e846930482"/>
    <ds:schemaRef ds:uri="http://schemas.microsoft.com/office/infopath/2007/PartnerControls"/>
  </ds:schemaRefs>
</ds:datastoreItem>
</file>

<file path=customXml/itemProps3.xml><?xml version="1.0" encoding="utf-8"?>
<ds:datastoreItem xmlns:ds="http://schemas.openxmlformats.org/officeDocument/2006/customXml" ds:itemID="{3CB4FC43-3A29-443C-A09C-40EED372F898}">
  <ds:schemaRefs>
    <ds:schemaRef ds:uri="http://schemas.microsoft.com/DataMashup"/>
  </ds:schemaRefs>
</ds:datastoreItem>
</file>

<file path=customXml/itemProps4.xml><?xml version="1.0" encoding="utf-8"?>
<ds:datastoreItem xmlns:ds="http://schemas.openxmlformats.org/officeDocument/2006/customXml" ds:itemID="{BD2ED845-B05E-4180-9DA4-2A5AA73655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Hoja1</vt:lpstr>
      <vt:lpstr>IMPORT 2025</vt:lpstr>
      <vt:lpstr>Hoja10</vt:lpstr>
      <vt:lpstr>Hoja8</vt:lpstr>
      <vt:lpstr>Hoja7</vt:lpstr>
      <vt:lpstr>Hoja2</vt:lpstr>
      <vt:lpstr>Hoja6</vt:lpstr>
      <vt:lpstr>Hoja3</vt:lpstr>
      <vt:lpstr>Hoja4</vt:lpstr>
      <vt:lpstr>Hoja5</vt:lpstr>
      <vt:lpstr>BASE</vt:lpstr>
      <vt:lpstr>Hoja7!_Hlk128545079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Medrano - PLGAD</dc:creator>
  <cp:lastModifiedBy>Maritza Nieto--PLG DIVISION ADUANAS</cp:lastModifiedBy>
  <cp:lastPrinted>2025-09-27T19:33:31Z</cp:lastPrinted>
  <dcterms:created xsi:type="dcterms:W3CDTF">2015-06-05T18:19:34Z</dcterms:created>
  <dcterms:modified xsi:type="dcterms:W3CDTF">2025-10-11T17:59:57Z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0x010100E12EE26350234A499F5AEB2249C7FC49</vt:lpwstr>
  </property>
  <property fmtid="{D5CDD505-2E9C-101B-9397-08002B2CF9AE}" pid="3" name="MediaServiceImageTags">
    <vt:lpwstr/>
  </property>
</Properties>
</file>